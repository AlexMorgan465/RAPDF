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13_ncr:1_{F1858EDB-158D-4422-B44D-1E65AD8D6432}" xr6:coauthVersionLast="47" xr6:coauthVersionMax="47" xr10:uidLastSave="{00000000-0000-0000-0000-000000000000}"/>
  <bookViews>
    <workbookView xWindow="-108" yWindow="372" windowWidth="23256" windowHeight="13416" xr2:uid="{F8F61422-262D-4128-997F-ABC43B6B237F}"/>
  </bookViews>
  <sheets>
    <sheet name="Feuil1" sheetId="1" r:id="rId1"/>
    <sheet name="ligne_ag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2" i="2"/>
</calcChain>
</file>

<file path=xl/sharedStrings.xml><?xml version="1.0" encoding="utf-8"?>
<sst xmlns="http://schemas.openxmlformats.org/spreadsheetml/2006/main" count="1501" uniqueCount="359">
  <si>
    <t>SIRET</t>
  </si>
  <si>
    <t>Raison sociale</t>
  </si>
  <si>
    <t>Type de facture</t>
  </si>
  <si>
    <t>Date limite de traitement</t>
  </si>
  <si>
    <t>ID Import</t>
  </si>
  <si>
    <t>Fichier source</t>
  </si>
  <si>
    <t>Agent</t>
  </si>
  <si>
    <t>CAPM EUROPE SA</t>
  </si>
  <si>
    <t>E</t>
  </si>
  <si>
    <t>IMP-20260806-104505-001</t>
  </si>
  <si>
    <t>CCLS v.27.07.2026</t>
  </si>
  <si>
    <t>ALAMI-AROUSSI AHMED</t>
  </si>
  <si>
    <t>CHARLES SERVICES</t>
  </si>
  <si>
    <t>DOMINO</t>
  </si>
  <si>
    <t>RESOSAFE</t>
  </si>
  <si>
    <t>ROS DIGITAL 75</t>
  </si>
  <si>
    <t>ROS DIGITAL 91</t>
  </si>
  <si>
    <t>ROS DIGITAL IDF SUD</t>
  </si>
  <si>
    <t>ROS DIGITAL SERVICES</t>
  </si>
  <si>
    <t>STE AM2</t>
  </si>
  <si>
    <t>TAURAND SERVICE MANUTENTION</t>
  </si>
  <si>
    <t>VIDEOJET TECHNOLOGIES</t>
  </si>
  <si>
    <t>ATELIER OLIVIER CHARNAY TELECOM</t>
  </si>
  <si>
    <t>AU COMPTOIR DE LA CAISSE</t>
  </si>
  <si>
    <t>AXIOR</t>
  </si>
  <si>
    <t>AXSAONE</t>
  </si>
  <si>
    <t>C2B INVESTISSEMENT</t>
  </si>
  <si>
    <t>OUALI SALWA</t>
  </si>
  <si>
    <t>COMM PRO</t>
  </si>
  <si>
    <t>DOCUMENT SOLUTIONS INFORMATIQUES</t>
  </si>
  <si>
    <t>ENTREPRISE TELEPHONIQUE GENERALE</t>
  </si>
  <si>
    <t>ETABLISSEMENTS TIFLEX</t>
  </si>
  <si>
    <t>GILLES MOREL</t>
  </si>
  <si>
    <t>HUBTEX FRANCE</t>
  </si>
  <si>
    <t>MANUSTRA</t>
  </si>
  <si>
    <t>MANUTENTION SERVICE</t>
  </si>
  <si>
    <t>MS 42</t>
  </si>
  <si>
    <t>ORGANIGAM BUREAUTIQUE</t>
  </si>
  <si>
    <t>REX ROTARY CHAMBERY</t>
  </si>
  <si>
    <t>RISO AIX EN PCE/MARSEILLE</t>
  </si>
  <si>
    <t>RISO PARIS</t>
  </si>
  <si>
    <t>SOGEMA</t>
  </si>
  <si>
    <t>HMAM IKRAM</t>
  </si>
  <si>
    <t>SYBORD</t>
  </si>
  <si>
    <t>TERAMAT AUVERGNE</t>
  </si>
  <si>
    <t>YNOV IT SUD</t>
  </si>
  <si>
    <t>ACTEMIS</t>
  </si>
  <si>
    <t>AXENS</t>
  </si>
  <si>
    <t>B CONTACT DEVELOPPEMENT</t>
  </si>
  <si>
    <t>B CONTACT PROVENCE</t>
  </si>
  <si>
    <t>B2M</t>
  </si>
  <si>
    <t>COPIE CONFORME</t>
  </si>
  <si>
    <t>DATA BURO</t>
  </si>
  <si>
    <t>ELECTRO CALORIQUE</t>
  </si>
  <si>
    <t>G 2 A</t>
  </si>
  <si>
    <t>INPS GROUPE</t>
  </si>
  <si>
    <t>MARKEM-IMAJE SAS</t>
  </si>
  <si>
    <t>ENNAJIH SALMA</t>
  </si>
  <si>
    <t>MODERNE D ORGANISATION DE BUREAU</t>
  </si>
  <si>
    <t>NEO OFFICE</t>
  </si>
  <si>
    <t>REX ROTARY</t>
  </si>
  <si>
    <t>SA GAI FRANCE</t>
  </si>
  <si>
    <t>SECURITAS TECHNOLOGIES</t>
  </si>
  <si>
    <t>SMB</t>
  </si>
  <si>
    <t>SOCIETE BIZON MATERIEL</t>
  </si>
  <si>
    <t>SRE</t>
  </si>
  <si>
    <t>SUDALPES SERVICES</t>
  </si>
  <si>
    <t>TCEM AGENCE AVIGNON</t>
  </si>
  <si>
    <t>TCEM AGENCE NICE</t>
  </si>
  <si>
    <t>TCEM AGENCE TOULON</t>
  </si>
  <si>
    <t>TERRACULTURE</t>
  </si>
  <si>
    <t>ALLIANCE BOIS MATERIEL</t>
  </si>
  <si>
    <t>BUROLOGIC</t>
  </si>
  <si>
    <t>NAKHLA AYA</t>
  </si>
  <si>
    <t>BUROLOGIC 49</t>
  </si>
  <si>
    <t>BUROLOGIC 79</t>
  </si>
  <si>
    <t>BUROLOGIC 85</t>
  </si>
  <si>
    <t>CTV</t>
  </si>
  <si>
    <t>SIREN TELECOMS</t>
  </si>
  <si>
    <t>SOLSTIS</t>
  </si>
  <si>
    <t>SRB BLANCHARD</t>
  </si>
  <si>
    <t>STE VIENNE DOCUMENTIQUE</t>
  </si>
  <si>
    <t>TOSHIBA CENTRE GRAND OUEST BLOIS</t>
  </si>
  <si>
    <t>ALGAN-SIREC</t>
  </si>
  <si>
    <t>EKTOR</t>
  </si>
  <si>
    <t>REPROLAND</t>
  </si>
  <si>
    <t>SARL MAZOYER</t>
  </si>
  <si>
    <t>START SECURE 3%</t>
  </si>
  <si>
    <t>START SECURE 4,52%</t>
  </si>
  <si>
    <t>MOULINE SALMA</t>
  </si>
  <si>
    <t>BLANCHARD TP NORMANDIE</t>
  </si>
  <si>
    <t>DEMOLIN NORMANDIE</t>
  </si>
  <si>
    <t>LOUTZ CHARIOTS ELEVATEURS</t>
  </si>
  <si>
    <t>MANUCO SERVICES</t>
  </si>
  <si>
    <t>MASSELIN COMMUNICATION</t>
  </si>
  <si>
    <t>UNITED TELECOM ET TRAVAUX</t>
  </si>
  <si>
    <t>UNITED TELECOM OUEST</t>
  </si>
  <si>
    <t>ACCURAY EUROPE</t>
  </si>
  <si>
    <t>CANON MEDICAL PUBLIC</t>
  </si>
  <si>
    <t>CANON MEDICAL SYSTEMS FRANCE SAS</t>
  </si>
  <si>
    <t>CARDIO PRIVE</t>
  </si>
  <si>
    <t>CARDIO PUBLIC</t>
  </si>
  <si>
    <t>CT PRIVE</t>
  </si>
  <si>
    <t>ECHO CARDIO</t>
  </si>
  <si>
    <t>ECHO GYNECO</t>
  </si>
  <si>
    <t>ESAOTE MEDICAL</t>
  </si>
  <si>
    <t>LYACOUBI HOUDA</t>
  </si>
  <si>
    <t>FILMS ACCESSOIRES SERVICES</t>
  </si>
  <si>
    <t>FUJIFILM HEALTHCARE FRANCE SAS</t>
  </si>
  <si>
    <t>GE HEALTHCARE EQUIPMENT FINANCE</t>
  </si>
  <si>
    <t>GE HEF - ECHO RADIO</t>
  </si>
  <si>
    <t>GE MEDICAL SYSTEM ULTRASOUND &amp;</t>
  </si>
  <si>
    <t>GE MEDICAL SYSTEMS</t>
  </si>
  <si>
    <t>IMAGING - CT PUBLIC</t>
  </si>
  <si>
    <t>IMAGING - MI PUBLIC</t>
  </si>
  <si>
    <t>IMAGING - MR PUBLIC</t>
  </si>
  <si>
    <t>IMAGING MI PRIVE</t>
  </si>
  <si>
    <t>MAMMOGRAPHIE PRIVE</t>
  </si>
  <si>
    <t>MAMMOGRAPHIE PUBLIC</t>
  </si>
  <si>
    <t>PRONEWS</t>
  </si>
  <si>
    <t>E+R</t>
  </si>
  <si>
    <t>IMP-20260806-104505-002</t>
  </si>
  <si>
    <t>DSI clients editeurs Fichier v.31.07.2026 (source).xlsx</t>
  </si>
  <si>
    <t>DSI ONLINE</t>
  </si>
  <si>
    <t>CAPLTR</t>
  </si>
  <si>
    <t>2CKS</t>
  </si>
  <si>
    <t>IMP-20260806-104505-004</t>
  </si>
  <si>
    <t>IDSoft éditeur v.30.07.2026</t>
  </si>
  <si>
    <t>ADC PROPRETE</t>
  </si>
  <si>
    <t>HAMMERSCHMIDT (Jacques)</t>
  </si>
  <si>
    <t>HAMMERSCHMIDT (Patricia)</t>
  </si>
  <si>
    <t>IMMO LEPSI</t>
  </si>
  <si>
    <t>LA COMPAGNIE DES BALAIS</t>
  </si>
  <si>
    <t>PROPR-E-CLAIR</t>
  </si>
  <si>
    <t>PROXIMITE NOUVELLE</t>
  </si>
  <si>
    <t>QUOTIDIEN SERVICE NETTOYAGE</t>
  </si>
  <si>
    <t>REFLEX</t>
  </si>
  <si>
    <t>BOUFTIHA LAMIYAA</t>
  </si>
  <si>
    <t>TELUS</t>
  </si>
  <si>
    <t>SAS MARBRERIE FOURNITURES TECHNIQUES BATIMENT</t>
  </si>
  <si>
    <t>IMP-20260806-104505-006</t>
  </si>
  <si>
    <t>LOKOA éditeur Abonnés v.31.07.26 (source).xlsx</t>
  </si>
  <si>
    <t>ZERZOURI LAMIAE</t>
  </si>
  <si>
    <t xml:space="preserve"> SAS LA BOCAINE</t>
  </si>
  <si>
    <t xml:space="preserve">SCI RACINE </t>
  </si>
  <si>
    <t xml:space="preserve"> SARL RL DISTRIB-RACINE </t>
  </si>
  <si>
    <t xml:space="preserve"> SARL Unipersonnelle B2EB</t>
  </si>
  <si>
    <t xml:space="preserve">ASSOCIATION AERIAL </t>
  </si>
  <si>
    <t xml:space="preserve">ROI DE BRETAGNE </t>
  </si>
  <si>
    <t xml:space="preserve">INOPROD SAS </t>
  </si>
  <si>
    <t xml:space="preserve">SAS INOPROD France </t>
  </si>
  <si>
    <t>SAS REDBERRY</t>
  </si>
  <si>
    <t xml:space="preserve">SASU EUROLAM </t>
  </si>
  <si>
    <t>SARL CP MENUISERIE</t>
  </si>
  <si>
    <t>SAS IWAKI</t>
  </si>
  <si>
    <t xml:space="preserve">SAS TAVANO BATIMENT </t>
  </si>
  <si>
    <t>LONGCH&amp;CO</t>
  </si>
  <si>
    <t>BARNASSO HAMZA</t>
  </si>
  <si>
    <t xml:space="preserve">SARL HORIZON SOL </t>
  </si>
  <si>
    <t>BASEROLO</t>
  </si>
  <si>
    <t xml:space="preserve">SAS EBM BATIMENT </t>
  </si>
  <si>
    <t>SCI CRESCENDO</t>
  </si>
  <si>
    <t>SCI MULINO</t>
  </si>
  <si>
    <t xml:space="preserve">SCI MARMO </t>
  </si>
  <si>
    <t>SI CONTACT</t>
  </si>
  <si>
    <t>IMP-20260806-104505-008</t>
  </si>
  <si>
    <t>SIWEB éditeur v.24.07.2026</t>
  </si>
  <si>
    <t>JNG HOLDING</t>
  </si>
  <si>
    <t>STAIRWAY GROUPE STRATEGIE</t>
  </si>
  <si>
    <t>LIVE UP INVEST</t>
  </si>
  <si>
    <t>AWG</t>
  </si>
  <si>
    <t>CBK</t>
  </si>
  <si>
    <t>VERSOO</t>
  </si>
  <si>
    <t>IMP-20260806-104505-007</t>
  </si>
  <si>
    <t>SIWEB éditeur v.07.08 (source).xlsx</t>
  </si>
  <si>
    <t>DIB FRANCE</t>
  </si>
  <si>
    <t xml:space="preserve">GHP GUADELOUPE HYGIENE PROFESSIONNELLE </t>
  </si>
  <si>
    <t>IMP-20260806-104505-005</t>
  </si>
  <si>
    <t>LOKOA éditeur Abonnés v.16.08.26 (source).xlsx</t>
  </si>
  <si>
    <t>AVJC</t>
  </si>
  <si>
    <t xml:space="preserve">AUVERGNE ENERGIES SOLUTIONS </t>
  </si>
  <si>
    <t>F2M</t>
  </si>
  <si>
    <t>BORD DE MER 2030</t>
  </si>
  <si>
    <t>ALLIANCE INTERNATIONALE INFORMATIQUE</t>
  </si>
  <si>
    <t>CAPAROL CENTER CANTAL</t>
  </si>
  <si>
    <t>MALAJO</t>
  </si>
  <si>
    <t>ODEHUS GROUP</t>
  </si>
  <si>
    <t>MGD CONSULTING</t>
  </si>
  <si>
    <t>21/08/2026</t>
  </si>
  <si>
    <t xml:space="preserve">JOLAUMA HOME </t>
  </si>
  <si>
    <t>ODELINK</t>
  </si>
  <si>
    <t>LK SERVICES</t>
  </si>
  <si>
    <t>IMP-20260806-104505-003</t>
  </si>
  <si>
    <t>IDSoft éditeur v.16.08.2026.xlsx</t>
  </si>
  <si>
    <t>ABC ENTRETIEN</t>
  </si>
  <si>
    <t>SORESS</t>
  </si>
  <si>
    <t>ABC ENTRETIEN SUD</t>
  </si>
  <si>
    <t xml:space="preserve">SCTE NETTOYAGE SERVICES </t>
  </si>
  <si>
    <t>SCTE ENVIRONNEMENT</t>
  </si>
  <si>
    <t>NEPEX </t>
  </si>
  <si>
    <t>LSB</t>
  </si>
  <si>
    <t>TRIANGLE</t>
  </si>
  <si>
    <t>ECQUEVILLY</t>
  </si>
  <si>
    <t>BUREAUX DE VERRIERES</t>
  </si>
  <si>
    <t>LES ESSARTS</t>
  </si>
  <si>
    <t>VERDUN</t>
  </si>
  <si>
    <t>CHANTILLY</t>
  </si>
  <si>
    <t>VBS NORD</t>
  </si>
  <si>
    <t xml:space="preserve">  </t>
  </si>
  <si>
    <t>SEGI (DELOFFRE)</t>
  </si>
  <si>
    <t>AXIAL</t>
  </si>
  <si>
    <t>CLEAN SERVICE - WASH MOQUETTE</t>
  </si>
  <si>
    <t>STEM PROPRETE EST (ECLAT D'ALSACE)</t>
  </si>
  <si>
    <t>ECONET</t>
  </si>
  <si>
    <t>HERES (ES)</t>
  </si>
  <si>
    <t>JARDIN ENTRETIEN MENAGE (JEM)</t>
  </si>
  <si>
    <t>NETTEC</t>
  </si>
  <si>
    <t>STEM PROPRETE RHONE ALPES (OPTINETT)</t>
  </si>
  <si>
    <t>SEGI</t>
  </si>
  <si>
    <t>SEGI SERVICE</t>
  </si>
  <si>
    <t>AGUR (SURGARD)</t>
  </si>
  <si>
    <t>STEM PROPRETE 91</t>
  </si>
  <si>
    <t>STEM PROPRETE 59</t>
  </si>
  <si>
    <t>STEM PROPRETE 38</t>
  </si>
  <si>
    <t>STEM PROPRETE 33</t>
  </si>
  <si>
    <t>ARC EN CIEL - Groupe U&amp;A</t>
  </si>
  <si>
    <t>ARNG</t>
  </si>
  <si>
    <t>IMMOPROPRE</t>
  </si>
  <si>
    <t>LA SENI</t>
  </si>
  <si>
    <t>ARC EN CIEL PROPRETE</t>
  </si>
  <si>
    <t>GROUPE PPI</t>
  </si>
  <si>
    <t>VSP</t>
  </si>
  <si>
    <t>NET LEADER</t>
  </si>
  <si>
    <t>EXCEL NETTOYAGE</t>
  </si>
  <si>
    <t xml:space="preserve">Homenet </t>
  </si>
  <si>
    <t>GUIMA NETTOYAGE</t>
  </si>
  <si>
    <t>L’OCEANE DE NETTOYAGE</t>
  </si>
  <si>
    <t>LORITEC</t>
  </si>
  <si>
    <t>QUALI NET SERVICES</t>
  </si>
  <si>
    <t>QUALINET SANTE</t>
  </si>
  <si>
    <t>SANI</t>
  </si>
  <si>
    <t>VBS LES PETITS RUISSEAUX</t>
  </si>
  <si>
    <t>20/08/2026</t>
  </si>
  <si>
    <t>I.D.S Propreté</t>
  </si>
  <si>
    <t>POLY PREST EUROPE</t>
  </si>
  <si>
    <t>A-G-NET</t>
  </si>
  <si>
    <t>AMS NETTOYAGE ET SERVICES</t>
  </si>
  <si>
    <t>ATRIUM SERVICES</t>
  </si>
  <si>
    <t>EXCEL HOME SERVICES</t>
  </si>
  <si>
    <t>LES ATELIERS SINCLAIR</t>
  </si>
  <si>
    <t>PRO SOLEY</t>
  </si>
  <si>
    <t>SCTE PROPRETE SERVICES</t>
  </si>
  <si>
    <t>NSI GROUPE</t>
  </si>
  <si>
    <t>NSI 2</t>
  </si>
  <si>
    <t>NSI 3</t>
  </si>
  <si>
    <t>NSI 4</t>
  </si>
  <si>
    <t>NSI PEST MANAGEMENT</t>
  </si>
  <si>
    <t>NSI 1</t>
  </si>
  <si>
    <t>SIPROPRE</t>
  </si>
  <si>
    <t>SOCIETE NETTOYAGE SERVICE (LORILLEUX NETTOYAGE)</t>
  </si>
  <si>
    <t>SOLS &amp; PEINTURE</t>
  </si>
  <si>
    <t>TECHNIM - CLEAN SYSTEM</t>
  </si>
  <si>
    <t>TINÉ</t>
  </si>
  <si>
    <t>MAINTENANCE NETTOYAGE</t>
  </si>
  <si>
    <t>SOLS &amp; PEINTUR</t>
  </si>
  <si>
    <t>TINE</t>
  </si>
  <si>
    <t>EMS</t>
  </si>
  <si>
    <t>NOUVELLE BROSSERIE AUVERGNATE</t>
  </si>
  <si>
    <t>IMP-20260831-122645-001</t>
  </si>
  <si>
    <t>LOKOA éditeur Abonnés EIE v.31.08.26.xlsx</t>
  </si>
  <si>
    <t xml:space="preserve">KIBROS </t>
  </si>
  <si>
    <t>CIPAM</t>
  </si>
  <si>
    <t xml:space="preserve">BOULEGON PARRY </t>
  </si>
  <si>
    <t xml:space="preserve">L'ATELIER DES FLUX </t>
  </si>
  <si>
    <t>BIOMEGA HYGIENE</t>
  </si>
  <si>
    <t>IMP-20260901-114115-001</t>
  </si>
  <si>
    <t>IDSOFT editeur ETS v.31.08.2026.xlsx</t>
  </si>
  <si>
    <t>VITASERVICES</t>
  </si>
  <si>
    <t>CLEAN PRO SERVICES</t>
  </si>
  <si>
    <t>CLEAN SAP SERVICES</t>
  </si>
  <si>
    <t>33 NETTOYAGE</t>
  </si>
  <si>
    <t>ALB SERVICES</t>
  </si>
  <si>
    <t>NS CLEAN</t>
  </si>
  <si>
    <t>799 659 941 00014</t>
  </si>
  <si>
    <t>SCI C14</t>
  </si>
  <si>
    <t>IMP-20260903-123754-001</t>
  </si>
  <si>
    <t>Cyberg éditeur Clients EIE v.02.09.2026.xlsx</t>
  </si>
  <si>
    <t>792 907 750 00022</t>
  </si>
  <si>
    <t>CYBERG</t>
  </si>
  <si>
    <t>JIM</t>
  </si>
  <si>
    <t>NAJIRO</t>
  </si>
  <si>
    <t>SCI NJR</t>
  </si>
  <si>
    <t>Ets LAPIZE DE SALLEE</t>
  </si>
  <si>
    <t>CAB-Conception</t>
  </si>
  <si>
    <t>GALLOT SAS</t>
  </si>
  <si>
    <t>MABBOUX</t>
  </si>
  <si>
    <t>MARGIRIER</t>
  </si>
  <si>
    <t>TSG</t>
  </si>
  <si>
    <t>VINSOL</t>
  </si>
  <si>
    <t>MENAGE &amp; PROPRETE</t>
  </si>
  <si>
    <t>IMP-20260909-115038-001</t>
  </si>
  <si>
    <t>IDSOFT editeur ETS v.09.09.26.xlsx</t>
  </si>
  <si>
    <t>ACTIVA NETTOYAGE (45)</t>
  </si>
  <si>
    <t>C PROPRE</t>
  </si>
  <si>
    <t>L'EQUIPE PROPRETE ET SERVICES</t>
  </si>
  <si>
    <t>UNIQUE ET MULTIPLE</t>
  </si>
  <si>
    <t>IMP-20260915-102236-001</t>
  </si>
  <si>
    <t>NABORA clients abonnés ETS v.14.09.26.xlsx</t>
  </si>
  <si>
    <t>OPEN MAC</t>
  </si>
  <si>
    <t>Fait par SS le 14/09/2026</t>
  </si>
  <si>
    <t>SPEEDI RYCHI NYLON</t>
  </si>
  <si>
    <t>VOIR &amp; EMOUVOIR</t>
  </si>
  <si>
    <t>PREFERENDUM</t>
  </si>
  <si>
    <t>SUNCHA</t>
  </si>
  <si>
    <t>SYMAPS PRODUCTION</t>
  </si>
  <si>
    <t>BALTHO</t>
  </si>
  <si>
    <t>TCA</t>
  </si>
  <si>
    <t>SURF DESIGN</t>
  </si>
  <si>
    <t>SURF CREATIVE CONTENT</t>
  </si>
  <si>
    <t>SURF LUXE</t>
  </si>
  <si>
    <t>RADANCY</t>
  </si>
  <si>
    <t>LES ENVAHISSEURS</t>
  </si>
  <si>
    <t>PULP CONSUMER CREATIVE BRAND</t>
  </si>
  <si>
    <t>ELIXIR DESIGN</t>
  </si>
  <si>
    <t>HLV NETTOYAGE</t>
  </si>
  <si>
    <t>IMP-20260921-112230-001</t>
  </si>
  <si>
    <t>IDSOFT editeur ETS v.18.09.2026.xlsx</t>
  </si>
  <si>
    <t>OFFICIUM</t>
  </si>
  <si>
    <t>SCI SERVICES 5</t>
  </si>
  <si>
    <t>IMP-20260923-120103-001</t>
  </si>
  <si>
    <t>IDSOFT editeur ETS v.23.09.26.xlsx</t>
  </si>
  <si>
    <t>SCI SERVICES 4</t>
  </si>
  <si>
    <t>SCI SERVICES 3</t>
  </si>
  <si>
    <t>SCI SERVICES 2</t>
  </si>
  <si>
    <t>SCI SERVICES</t>
  </si>
  <si>
    <t>SCI NINA</t>
  </si>
  <si>
    <t>NSI LEARN</t>
  </si>
  <si>
    <t>LE CHATEAU D'AUBRY</t>
  </si>
  <si>
    <t>EPSO MULTISERVICES</t>
  </si>
  <si>
    <t>ASHUB PROPRETE</t>
  </si>
  <si>
    <t>TECHNIM</t>
  </si>
  <si>
    <t>TALIAN PROPRETE</t>
  </si>
  <si>
    <t>SCI SERVICES 8</t>
  </si>
  <si>
    <t>SCI SERVICES 7</t>
  </si>
  <si>
    <t>SCI SERVICES 6</t>
  </si>
  <si>
    <t>CCLS</t>
  </si>
  <si>
    <t xml:space="preserve">DSI clients éditeurs Fichier v.31.07.2026 </t>
  </si>
  <si>
    <t xml:space="preserve">LOKOA éditeur Abonnés v.31.07.26 </t>
  </si>
  <si>
    <t xml:space="preserve">SIWEB éditeur v.07.08 </t>
  </si>
  <si>
    <t xml:space="preserve">LOKOA éditeur Abonnés v.16.08.26 </t>
  </si>
  <si>
    <r>
      <t>IDSoft éditeur v.16.08.2026</t>
    </r>
    <r>
      <rPr>
        <sz val="11"/>
        <color rgb="FF1F3864"/>
        <rFont val="Calibri"/>
        <family val="2"/>
        <scheme val="minor"/>
      </rPr>
      <t xml:space="preserve"> </t>
    </r>
  </si>
  <si>
    <t>LOKOA éditeur Abonnés EIE v.31.08.26</t>
  </si>
  <si>
    <t>IDSOFT editeur ETS v.31.08.2026</t>
  </si>
  <si>
    <t>Cyberg éditeur Clients EIE v.02.09.2026</t>
  </si>
  <si>
    <t>IDSOFT editeur ETS v.09.09.26</t>
  </si>
  <si>
    <t>NABORA clients abonnés ETS v.14.09.26</t>
  </si>
  <si>
    <t>IDSOFT editeur ETS v.18.09.2026</t>
  </si>
  <si>
    <r>
      <t>IDSOFT éditeur ETS v.23.09.26</t>
    </r>
    <r>
      <rPr>
        <sz val="11"/>
        <color rgb="FF000000"/>
        <rFont val="Calibri"/>
        <family val="2"/>
        <scheme val="minor"/>
      </rPr>
      <t> 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</si>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</sst>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sz val="11"/>
      <color rgb="FF1F3864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horizontal="left"/>
    </xf>
    <xf numFmtId="1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2" borderId="4" xfId="0" applyFill="1" applyBorder="1"/>
    <xf numFmtId="0" fontId="0" fillId="0" borderId="4" xfId="0" applyBorder="1"/>
    <xf numFmtId="0" fontId="2" fillId="2" borderId="2" xfId="0" applyFont="1" applyFill="1" applyBorder="1" applyAlignment="1">
      <alignment vertical="center" wrapText="1"/>
    </xf>
    <xf numFmtId="0" fontId="0" fillId="2" borderId="5" xfId="0" applyFill="1" applyBorder="1"/>
    <xf numFmtId="1" fontId="2" fillId="3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2" borderId="6" xfId="0" applyFill="1" applyBorder="1"/>
    <xf numFmtId="0" fontId="0" fillId="0" borderId="7" xfId="0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5C7FD-D3EF-490F-B08A-5714F01A85DC}" name="Tableau4" displayName="Tableau4" ref="A1:G292" totalsRowShown="0" headerRowDxfId="28">
  <tableColumns count="7">
    <tableColumn id="1" xr3:uid="{25048FF7-F1BB-4CD3-9038-F479B5795A2E}" name="SIRET" dataDxfId="27"/>
    <tableColumn id="2" xr3:uid="{37D68848-536C-414A-8746-6BDBB187C95E}" name="Raison sociale" dataDxfId="26"/>
    <tableColumn id="3" xr3:uid="{B18AA342-F7F4-4F3C-A01E-50CC90412F6A}" name="Type de facture" dataDxfId="25"/>
    <tableColumn id="4" xr3:uid="{BC400BBE-2BD8-43EB-A41D-AA5AA46A274D}" name="Date limite de traitement" dataDxfId="24"/>
    <tableColumn id="5" xr3:uid="{75E8FD7D-E5EA-4256-A2D5-BA9CF9F61A0B}" name="ID Import"/>
    <tableColumn id="6" xr3:uid="{95EB5BE6-914C-445A-B216-5A4027AF50F5}" name="Fichier source"/>
    <tableColumn id="7" xr3:uid="{493D369E-0AC7-44FA-A8C7-CC1FB2111751}" name="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AAE72-7D20-4AFB-9BC7-C6C8BFBD988A}" name="Tableau3" displayName="Tableau3" ref="A1:P12" totalsRowCount="1" totalsRowDxfId="23" totalsRowBorderDxfId="22">
  <autoFilter ref="A1:P11" xr:uid="{C49AAE72-7D20-4AFB-9BC7-C6C8BFBD988A}"/>
  <tableColumns count="16">
    <tableColumn id="1" xr3:uid="{1FAB753D-5273-48AF-A677-CC5214622F10}" name="Agent" totalsRowLabel="total" totalsRowDxfId="21"/>
    <tableColumn id="2" xr3:uid="{7A42852B-8EC6-4034-80B1-87745FB7250C}" name="CCLS" totalsRowFunction="custom" totalsRowDxfId="20">
      <totalsRowFormula>+SUM(Tableau3[CCLS])</totalsRowFormula>
    </tableColumn>
    <tableColumn id="3" xr3:uid="{C5F03F93-6005-435F-8763-43BD2AAD4BE3}" name="DSI clients éditeurs Fichier v.31.07.2026 " totalsRowFunction="custom" totalsRowDxfId="19">
      <totalsRowFormula>+SUM(Tableau3[DSI clients éditeurs Fichier v.31.07.2026 ])</totalsRowFormula>
    </tableColumn>
    <tableColumn id="4" xr3:uid="{A85BF94A-6CD9-4978-AE2F-AAD3F9C80058}" name="IDSoft éditeur v.30.07.2026" totalsRowFunction="custom" totalsRowDxfId="18">
      <totalsRowFormula>+SUM(Tableau3[IDSoft éditeur v.30.07.2026])</totalsRowFormula>
    </tableColumn>
    <tableColumn id="5" xr3:uid="{58CE5D22-A69E-4038-909E-7C412CCCC25D}" name="LOKOA éditeur Abonnés v.31.07.26 " totalsRowFunction="custom" totalsRowDxfId="17">
      <totalsRowFormula>+SUM(Tableau3[LOKOA éditeur Abonnés v.31.07.26 ])</totalsRowFormula>
    </tableColumn>
    <tableColumn id="6" xr3:uid="{B6FDAB1C-C4AD-496D-9923-A830064471FF}" name="SIWEB éditeur v.24.07.2026" totalsRowFunction="custom" totalsRowDxfId="16">
      <totalsRowFormula>+SUM(Tableau3[SIWEB éditeur v.24.07.2026])</totalsRowFormula>
    </tableColumn>
    <tableColumn id="7" xr3:uid="{A105D9BD-CE38-45CA-B40D-CDF2D5E47F51}" name="SIWEB éditeur v.07.08 " totalsRowFunction="custom" totalsRowDxfId="15">
      <totalsRowFormula>+SUM(Tableau3[SIWEB éditeur v.07.08 ])</totalsRowFormula>
    </tableColumn>
    <tableColumn id="8" xr3:uid="{0A7B3025-52DF-4565-8EE4-3386EB58FB36}" name="LOKOA éditeur Abonnés v.16.08.26 " totalsRowFunction="custom" totalsRowDxfId="14">
      <totalsRowFormula>+SUM(Tableau3[LOKOA éditeur Abonnés v.16.08.26 ])</totalsRowFormula>
    </tableColumn>
    <tableColumn id="9" xr3:uid="{6A08B234-DA1B-4EAA-B671-EE3854DF283F}" name="IDSoft éditeur v.16.08.2026 " totalsRowFunction="custom" totalsRowDxfId="13">
      <totalsRowFormula>+SUM(Tableau3[IDSoft éditeur v.16.08.2026 ])</totalsRowFormula>
    </tableColumn>
    <tableColumn id="10" xr3:uid="{D6F4C1A9-6D41-4874-9223-5220CCC7F589}" name="LOKOA éditeur Abonnés EIE v.31.08.26" totalsRowFunction="custom" totalsRowDxfId="12">
      <totalsRowFormula>+SUM(Tableau3[LOKOA éditeur Abonnés EIE v.31.08.26])</totalsRowFormula>
    </tableColumn>
    <tableColumn id="11" xr3:uid="{68805DC4-A120-4576-ADA7-D5B4031BA95D}" name="IDSOFT editeur ETS v.31.08.2026" totalsRowFunction="custom" totalsRowDxfId="11">
      <totalsRowFormula>+SUM(Tableau3[IDSOFT editeur ETS v.31.08.2026])</totalsRowFormula>
    </tableColumn>
    <tableColumn id="12" xr3:uid="{18722F2D-732E-4D51-8499-5FEE2FA72D0F}" name="Cyberg éditeur Clients EIE v.02.09.2026" totalsRowFunction="custom" totalsRowDxfId="10">
      <totalsRowFormula>+SUM(Tableau3[Cyberg éditeur Clients EIE v.02.09.2026])</totalsRowFormula>
    </tableColumn>
    <tableColumn id="13" xr3:uid="{3C02EB5B-353E-427B-893C-D36D9D28EDB8}" name="IDSOFT editeur ETS v.09.09.26" totalsRowFunction="custom" totalsRowDxfId="9">
      <totalsRowFormula>+SUM(Tableau3[IDSOFT editeur ETS v.09.09.26])</totalsRowFormula>
    </tableColumn>
    <tableColumn id="14" xr3:uid="{B6E33763-602D-44B4-93FE-1C55EA47FCFD}" name="NABORA clients abonnés ETS v.14.09.26" totalsRowFunction="custom" totalsRowDxfId="8">
      <totalsRowFormula>+SUM(Tableau3[NABORA clients abonnés ETS v.14.09.26])</totalsRowFormula>
    </tableColumn>
    <tableColumn id="15" xr3:uid="{25AB57C7-C2ED-49B9-9659-5A64FAF1811E}" name="IDSOFT editeur ETS v.18.09.2026" totalsRowFunction="custom" totalsRowDxfId="7">
      <totalsRowFormula>+SUM(Tableau3[IDSOFT editeur ETS v.18.09.2026])</totalsRowFormula>
    </tableColumn>
    <tableColumn id="16" xr3:uid="{A20F4DA8-110D-470B-BADC-5438F3E8E626}" name="IDSOFT éditeur ETS v.23.09.26 " totalsRowFunction="custom" totalsRowDxfId="6">
      <totalsRowFormula>+SUM(Tableau3[IDSOFT éditeur ETS v.23.09.26 ])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82CF-6561-42D4-9DC8-E8E9A2235EA8}">
  <dimension ref="A1:G292"/>
  <sheetViews>
    <sheetView tabSelected="1" topLeftCell="A283" workbookViewId="0">
      <selection activeCell="F292" sqref="F292"/>
    </sheetView>
  </sheetViews>
  <sheetFormatPr baseColWidth="10" defaultRowHeight="15" x14ac:dyDescent="0.25"/>
  <cols>
    <col min="1" max="1" width="15.42578125" bestFit="1" customWidth="1"/>
    <col min="2" max="2" width="49.7109375" bestFit="1" customWidth="1"/>
    <col min="3" max="3" width="17" bestFit="1" customWidth="1"/>
    <col min="4" max="4" width="28.42578125" bestFit="1" customWidth="1"/>
    <col min="5" max="5" width="23.85546875" bestFit="1" customWidth="1"/>
    <col min="6" max="6" width="48.28515625" bestFit="1" customWidth="1"/>
    <col min="7" max="7" width="22.42578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41766776300052</v>
      </c>
      <c r="B2" s="4" t="s">
        <v>7</v>
      </c>
      <c r="C2" s="4" t="s">
        <v>8</v>
      </c>
      <c r="D2" s="5"/>
      <c r="E2" t="s">
        <v>9</v>
      </c>
      <c r="F2" s="6" t="s">
        <v>10</v>
      </c>
      <c r="G2" t="s">
        <v>11</v>
      </c>
    </row>
    <row r="3" spans="1:7" x14ac:dyDescent="0.25">
      <c r="A3" s="4">
        <v>34451758600055</v>
      </c>
      <c r="B3" s="4" t="s">
        <v>12</v>
      </c>
      <c r="C3" s="4" t="s">
        <v>8</v>
      </c>
      <c r="D3" s="5"/>
      <c r="E3" t="s">
        <v>9</v>
      </c>
      <c r="F3" s="6" t="s">
        <v>10</v>
      </c>
      <c r="G3" t="s">
        <v>11</v>
      </c>
    </row>
    <row r="4" spans="1:7" x14ac:dyDescent="0.25">
      <c r="A4" s="4">
        <v>31789755100048</v>
      </c>
      <c r="B4" s="4" t="s">
        <v>13</v>
      </c>
      <c r="C4" s="4" t="s">
        <v>8</v>
      </c>
      <c r="D4" s="5"/>
      <c r="E4" t="s">
        <v>9</v>
      </c>
      <c r="F4" s="6" t="s">
        <v>10</v>
      </c>
      <c r="G4" t="s">
        <v>11</v>
      </c>
    </row>
    <row r="5" spans="1:7" x14ac:dyDescent="0.25">
      <c r="A5" s="4">
        <v>79937805400073</v>
      </c>
      <c r="B5" s="4" t="s">
        <v>14</v>
      </c>
      <c r="C5" s="4" t="s">
        <v>8</v>
      </c>
      <c r="D5" s="5"/>
      <c r="E5" t="s">
        <v>9</v>
      </c>
      <c r="F5" s="6" t="s">
        <v>10</v>
      </c>
      <c r="G5" t="s">
        <v>11</v>
      </c>
    </row>
    <row r="6" spans="1:7" x14ac:dyDescent="0.25">
      <c r="A6" s="4">
        <v>39047163900034</v>
      </c>
      <c r="B6" s="4" t="s">
        <v>15</v>
      </c>
      <c r="C6" s="4" t="s">
        <v>8</v>
      </c>
      <c r="D6" s="5"/>
      <c r="E6" t="s">
        <v>9</v>
      </c>
      <c r="F6" s="6" t="s">
        <v>10</v>
      </c>
      <c r="G6" t="s">
        <v>11</v>
      </c>
    </row>
    <row r="7" spans="1:7" x14ac:dyDescent="0.25">
      <c r="A7" s="4">
        <v>53113487200013</v>
      </c>
      <c r="B7" s="4" t="s">
        <v>16</v>
      </c>
      <c r="C7" s="4" t="s">
        <v>8</v>
      </c>
      <c r="D7" s="5"/>
      <c r="E7" t="s">
        <v>9</v>
      </c>
      <c r="F7" s="6" t="s">
        <v>10</v>
      </c>
      <c r="G7" t="s">
        <v>11</v>
      </c>
    </row>
    <row r="8" spans="1:7" x14ac:dyDescent="0.25">
      <c r="A8" s="4">
        <v>45197328300034</v>
      </c>
      <c r="B8" s="4" t="s">
        <v>17</v>
      </c>
      <c r="C8" s="4" t="s">
        <v>8</v>
      </c>
      <c r="D8" s="5"/>
      <c r="E8" t="s">
        <v>9</v>
      </c>
      <c r="F8" s="6" t="s">
        <v>10</v>
      </c>
      <c r="G8" t="s">
        <v>11</v>
      </c>
    </row>
    <row r="9" spans="1:7" x14ac:dyDescent="0.25">
      <c r="A9" s="4">
        <v>92069517800011</v>
      </c>
      <c r="B9" s="4" t="s">
        <v>18</v>
      </c>
      <c r="C9" s="4" t="s">
        <v>8</v>
      </c>
      <c r="D9" s="5"/>
      <c r="E9" t="s">
        <v>9</v>
      </c>
      <c r="F9" s="6" t="s">
        <v>10</v>
      </c>
      <c r="G9" t="s">
        <v>11</v>
      </c>
    </row>
    <row r="10" spans="1:7" x14ac:dyDescent="0.25">
      <c r="A10" s="4">
        <v>33049524300025</v>
      </c>
      <c r="B10" s="4" t="s">
        <v>19</v>
      </c>
      <c r="C10" s="4" t="s">
        <v>8</v>
      </c>
      <c r="D10" s="5"/>
      <c r="E10" t="s">
        <v>9</v>
      </c>
      <c r="F10" s="6" t="s">
        <v>10</v>
      </c>
      <c r="G10" t="s">
        <v>11</v>
      </c>
    </row>
    <row r="11" spans="1:7" x14ac:dyDescent="0.25">
      <c r="A11" s="4">
        <v>42140281900039</v>
      </c>
      <c r="B11" s="4" t="s">
        <v>20</v>
      </c>
      <c r="C11" s="4" t="s">
        <v>8</v>
      </c>
      <c r="D11" s="5"/>
      <c r="E11" t="s">
        <v>9</v>
      </c>
      <c r="F11" s="6" t="s">
        <v>10</v>
      </c>
      <c r="G11" t="s">
        <v>11</v>
      </c>
    </row>
    <row r="12" spans="1:7" x14ac:dyDescent="0.25">
      <c r="A12" s="4">
        <v>34774750300030</v>
      </c>
      <c r="B12" s="4" t="s">
        <v>21</v>
      </c>
      <c r="C12" s="4" t="s">
        <v>8</v>
      </c>
      <c r="D12" s="5"/>
      <c r="E12" t="s">
        <v>9</v>
      </c>
      <c r="F12" s="6" t="s">
        <v>10</v>
      </c>
      <c r="G12" t="s">
        <v>11</v>
      </c>
    </row>
    <row r="13" spans="1:7" x14ac:dyDescent="0.25">
      <c r="A13" s="4">
        <v>53510510000023</v>
      </c>
      <c r="B13" s="4" t="s">
        <v>22</v>
      </c>
      <c r="C13" s="4" t="s">
        <v>8</v>
      </c>
      <c r="D13" s="5"/>
      <c r="E13" t="s">
        <v>9</v>
      </c>
      <c r="F13" s="6" t="s">
        <v>10</v>
      </c>
      <c r="G13" t="s">
        <v>11</v>
      </c>
    </row>
    <row r="14" spans="1:7" x14ac:dyDescent="0.25">
      <c r="A14" s="4">
        <v>52320960900024</v>
      </c>
      <c r="B14" s="4" t="s">
        <v>23</v>
      </c>
      <c r="C14" s="4" t="s">
        <v>8</v>
      </c>
      <c r="D14" s="5"/>
      <c r="E14" t="s">
        <v>9</v>
      </c>
      <c r="F14" s="6" t="s">
        <v>10</v>
      </c>
      <c r="G14" t="s">
        <v>11</v>
      </c>
    </row>
    <row r="15" spans="1:7" x14ac:dyDescent="0.25">
      <c r="A15" s="4">
        <v>52253424700013</v>
      </c>
      <c r="B15" s="4" t="s">
        <v>24</v>
      </c>
      <c r="C15" s="4" t="s">
        <v>8</v>
      </c>
      <c r="D15" s="5"/>
      <c r="E15" t="s">
        <v>9</v>
      </c>
      <c r="F15" s="6" t="s">
        <v>10</v>
      </c>
      <c r="G15" t="s">
        <v>11</v>
      </c>
    </row>
    <row r="16" spans="1:7" x14ac:dyDescent="0.25">
      <c r="A16" s="4">
        <v>50221609600045</v>
      </c>
      <c r="B16" s="4" t="s">
        <v>25</v>
      </c>
      <c r="C16" s="4" t="s">
        <v>8</v>
      </c>
      <c r="D16" s="5"/>
      <c r="E16" t="s">
        <v>9</v>
      </c>
      <c r="F16" s="6" t="s">
        <v>10</v>
      </c>
      <c r="G16" t="s">
        <v>11</v>
      </c>
    </row>
    <row r="17" spans="1:7" x14ac:dyDescent="0.25">
      <c r="A17" s="4">
        <v>74981685600043</v>
      </c>
      <c r="B17" s="4" t="s">
        <v>26</v>
      </c>
      <c r="C17" s="4" t="s">
        <v>8</v>
      </c>
      <c r="D17" s="5"/>
      <c r="E17" t="s">
        <v>9</v>
      </c>
      <c r="F17" s="6" t="s">
        <v>10</v>
      </c>
      <c r="G17" t="s">
        <v>27</v>
      </c>
    </row>
    <row r="18" spans="1:7" x14ac:dyDescent="0.25">
      <c r="A18" s="4">
        <v>79417327800027</v>
      </c>
      <c r="B18" s="4" t="s">
        <v>28</v>
      </c>
      <c r="C18" s="4" t="s">
        <v>8</v>
      </c>
      <c r="D18" s="5"/>
      <c r="E18" t="s">
        <v>9</v>
      </c>
      <c r="F18" s="6" t="s">
        <v>10</v>
      </c>
      <c r="G18" t="s">
        <v>27</v>
      </c>
    </row>
    <row r="19" spans="1:7" x14ac:dyDescent="0.25">
      <c r="A19" s="4">
        <v>47876369100035</v>
      </c>
      <c r="B19" s="4" t="s">
        <v>29</v>
      </c>
      <c r="C19" s="4" t="s">
        <v>8</v>
      </c>
      <c r="D19" s="5"/>
      <c r="E19" t="s">
        <v>9</v>
      </c>
      <c r="F19" s="6" t="s">
        <v>10</v>
      </c>
      <c r="G19" t="s">
        <v>27</v>
      </c>
    </row>
    <row r="20" spans="1:7" x14ac:dyDescent="0.25">
      <c r="A20" s="4">
        <v>33025346900036</v>
      </c>
      <c r="B20" s="4" t="s">
        <v>30</v>
      </c>
      <c r="C20" s="4" t="s">
        <v>8</v>
      </c>
      <c r="D20" s="5"/>
      <c r="E20" t="s">
        <v>9</v>
      </c>
      <c r="F20" s="6" t="s">
        <v>10</v>
      </c>
      <c r="G20" t="s">
        <v>27</v>
      </c>
    </row>
    <row r="21" spans="1:7" x14ac:dyDescent="0.25">
      <c r="A21" s="4">
        <v>76120077300015</v>
      </c>
      <c r="B21" s="4" t="s">
        <v>31</v>
      </c>
      <c r="C21" s="4" t="s">
        <v>8</v>
      </c>
      <c r="D21" s="5"/>
      <c r="E21" t="s">
        <v>9</v>
      </c>
      <c r="F21" s="6" t="s">
        <v>10</v>
      </c>
      <c r="G21" t="s">
        <v>27</v>
      </c>
    </row>
    <row r="22" spans="1:7" x14ac:dyDescent="0.25">
      <c r="A22" s="4">
        <v>43821718400045</v>
      </c>
      <c r="B22" s="4" t="s">
        <v>32</v>
      </c>
      <c r="C22" s="4" t="s">
        <v>8</v>
      </c>
      <c r="D22" s="5"/>
      <c r="E22" t="s">
        <v>9</v>
      </c>
      <c r="F22" s="6" t="s">
        <v>10</v>
      </c>
      <c r="G22" t="s">
        <v>27</v>
      </c>
    </row>
    <row r="23" spans="1:7" x14ac:dyDescent="0.25">
      <c r="A23" s="4">
        <v>40825713700047</v>
      </c>
      <c r="B23" s="4" t="s">
        <v>33</v>
      </c>
      <c r="C23" s="4" t="s">
        <v>8</v>
      </c>
      <c r="D23" s="5"/>
      <c r="E23" t="s">
        <v>9</v>
      </c>
      <c r="F23" t="s">
        <v>10</v>
      </c>
      <c r="G23" t="s">
        <v>27</v>
      </c>
    </row>
    <row r="24" spans="1:7" x14ac:dyDescent="0.25">
      <c r="A24" s="4">
        <v>44338869900037</v>
      </c>
      <c r="B24" s="4" t="s">
        <v>34</v>
      </c>
      <c r="C24" s="4" t="s">
        <v>8</v>
      </c>
      <c r="D24" s="5"/>
      <c r="E24" t="s">
        <v>9</v>
      </c>
      <c r="F24" t="s">
        <v>10</v>
      </c>
      <c r="G24" t="s">
        <v>27</v>
      </c>
    </row>
    <row r="25" spans="1:7" x14ac:dyDescent="0.25">
      <c r="A25" s="4">
        <v>31675497700023</v>
      </c>
      <c r="B25" s="4" t="s">
        <v>35</v>
      </c>
      <c r="C25" s="4" t="s">
        <v>8</v>
      </c>
      <c r="D25" s="5"/>
      <c r="E25" t="s">
        <v>9</v>
      </c>
      <c r="F25" t="s">
        <v>10</v>
      </c>
      <c r="G25" t="s">
        <v>27</v>
      </c>
    </row>
    <row r="26" spans="1:7" x14ac:dyDescent="0.25">
      <c r="A26" s="4">
        <v>42126398900020</v>
      </c>
      <c r="B26" s="4" t="s">
        <v>36</v>
      </c>
      <c r="C26" s="4" t="s">
        <v>8</v>
      </c>
      <c r="D26" s="5"/>
      <c r="E26" t="s">
        <v>9</v>
      </c>
      <c r="F26" t="s">
        <v>10</v>
      </c>
      <c r="G26" t="s">
        <v>27</v>
      </c>
    </row>
    <row r="27" spans="1:7" x14ac:dyDescent="0.25">
      <c r="A27" s="4">
        <v>35032902500042</v>
      </c>
      <c r="B27" s="4" t="s">
        <v>37</v>
      </c>
      <c r="C27" s="4" t="s">
        <v>8</v>
      </c>
      <c r="D27" s="5"/>
      <c r="E27" t="s">
        <v>9</v>
      </c>
      <c r="F27" t="s">
        <v>10</v>
      </c>
      <c r="G27" t="s">
        <v>27</v>
      </c>
    </row>
    <row r="28" spans="1:7" x14ac:dyDescent="0.25">
      <c r="A28" s="4">
        <v>38335951001284</v>
      </c>
      <c r="B28" s="4" t="s">
        <v>38</v>
      </c>
      <c r="C28" s="4" t="s">
        <v>8</v>
      </c>
      <c r="D28" s="5"/>
      <c r="E28" t="s">
        <v>9</v>
      </c>
      <c r="F28" t="s">
        <v>10</v>
      </c>
      <c r="G28" t="s">
        <v>27</v>
      </c>
    </row>
    <row r="29" spans="1:7" x14ac:dyDescent="0.25">
      <c r="A29" s="4">
        <v>35132272200064</v>
      </c>
      <c r="B29" s="4" t="s">
        <v>39</v>
      </c>
      <c r="C29" s="4" t="s">
        <v>8</v>
      </c>
      <c r="D29" s="5"/>
      <c r="E29" t="s">
        <v>9</v>
      </c>
      <c r="F29" t="s">
        <v>10</v>
      </c>
      <c r="G29" t="s">
        <v>27</v>
      </c>
    </row>
    <row r="30" spans="1:7" x14ac:dyDescent="0.25">
      <c r="A30" s="4">
        <v>35132272200064</v>
      </c>
      <c r="B30" s="4" t="s">
        <v>40</v>
      </c>
      <c r="C30" s="4" t="s">
        <v>8</v>
      </c>
      <c r="D30" s="5"/>
      <c r="E30" t="s">
        <v>9</v>
      </c>
      <c r="F30" t="s">
        <v>10</v>
      </c>
      <c r="G30" t="s">
        <v>27</v>
      </c>
    </row>
    <row r="31" spans="1:7" x14ac:dyDescent="0.25">
      <c r="A31" s="4">
        <v>38821746500045</v>
      </c>
      <c r="B31" s="4" t="s">
        <v>41</v>
      </c>
      <c r="C31" s="4" t="s">
        <v>8</v>
      </c>
      <c r="D31" s="5"/>
      <c r="E31" t="s">
        <v>9</v>
      </c>
      <c r="F31" t="s">
        <v>10</v>
      </c>
      <c r="G31" t="s">
        <v>42</v>
      </c>
    </row>
    <row r="32" spans="1:7" x14ac:dyDescent="0.25">
      <c r="A32" s="4">
        <v>30778703600051</v>
      </c>
      <c r="B32" s="4" t="s">
        <v>43</v>
      </c>
      <c r="C32" s="4" t="s">
        <v>8</v>
      </c>
      <c r="D32" s="5"/>
      <c r="E32" t="s">
        <v>9</v>
      </c>
      <c r="F32" t="s">
        <v>10</v>
      </c>
      <c r="G32" t="s">
        <v>42</v>
      </c>
    </row>
    <row r="33" spans="1:7" x14ac:dyDescent="0.25">
      <c r="A33" s="4">
        <v>44348571900050</v>
      </c>
      <c r="B33" s="4" t="s">
        <v>44</v>
      </c>
      <c r="C33" s="4" t="s">
        <v>8</v>
      </c>
      <c r="D33" s="5"/>
      <c r="E33" t="s">
        <v>9</v>
      </c>
      <c r="F33" t="s">
        <v>10</v>
      </c>
      <c r="G33" t="s">
        <v>42</v>
      </c>
    </row>
    <row r="34" spans="1:7" x14ac:dyDescent="0.25">
      <c r="A34" s="4">
        <v>79469851400039</v>
      </c>
      <c r="B34" s="4" t="s">
        <v>45</v>
      </c>
      <c r="C34" s="4" t="s">
        <v>8</v>
      </c>
      <c r="D34" s="5"/>
      <c r="E34" t="s">
        <v>9</v>
      </c>
      <c r="F34" t="s">
        <v>10</v>
      </c>
      <c r="G34" t="s">
        <v>42</v>
      </c>
    </row>
    <row r="35" spans="1:7" x14ac:dyDescent="0.25">
      <c r="A35" s="4">
        <v>49360407800045</v>
      </c>
      <c r="B35" s="4" t="s">
        <v>46</v>
      </c>
      <c r="C35" s="4" t="s">
        <v>8</v>
      </c>
      <c r="D35" s="5"/>
      <c r="E35" t="s">
        <v>9</v>
      </c>
      <c r="F35" t="s">
        <v>10</v>
      </c>
      <c r="G35" t="s">
        <v>42</v>
      </c>
    </row>
    <row r="36" spans="1:7" x14ac:dyDescent="0.25">
      <c r="A36" s="4">
        <v>49157149300023</v>
      </c>
      <c r="B36" s="4" t="s">
        <v>47</v>
      </c>
      <c r="C36" s="4" t="s">
        <v>8</v>
      </c>
      <c r="D36" s="5"/>
      <c r="E36" t="s">
        <v>9</v>
      </c>
      <c r="F36" t="s">
        <v>10</v>
      </c>
      <c r="G36" t="s">
        <v>42</v>
      </c>
    </row>
    <row r="37" spans="1:7" x14ac:dyDescent="0.25">
      <c r="A37" s="4">
        <v>49333463500106</v>
      </c>
      <c r="B37" s="4" t="s">
        <v>48</v>
      </c>
      <c r="C37" s="4" t="s">
        <v>8</v>
      </c>
      <c r="D37" s="5"/>
      <c r="E37" t="s">
        <v>9</v>
      </c>
      <c r="F37" t="s">
        <v>10</v>
      </c>
      <c r="G37" t="s">
        <v>42</v>
      </c>
    </row>
    <row r="38" spans="1:7" x14ac:dyDescent="0.25">
      <c r="A38" s="4">
        <v>38423665900072</v>
      </c>
      <c r="B38" s="4" t="s">
        <v>49</v>
      </c>
      <c r="C38" s="4" t="s">
        <v>8</v>
      </c>
      <c r="D38" s="5"/>
      <c r="E38" t="s">
        <v>9</v>
      </c>
      <c r="F38" t="s">
        <v>10</v>
      </c>
      <c r="G38" t="s">
        <v>42</v>
      </c>
    </row>
    <row r="39" spans="1:7" x14ac:dyDescent="0.25">
      <c r="A39" s="4">
        <v>45314873600029</v>
      </c>
      <c r="B39" s="4" t="s">
        <v>50</v>
      </c>
      <c r="C39" s="4" t="s">
        <v>8</v>
      </c>
      <c r="D39" s="5"/>
      <c r="E39" t="s">
        <v>9</v>
      </c>
      <c r="F39" t="s">
        <v>10</v>
      </c>
      <c r="G39" t="s">
        <v>42</v>
      </c>
    </row>
    <row r="40" spans="1:7" x14ac:dyDescent="0.25">
      <c r="A40" s="4">
        <v>37964940300035</v>
      </c>
      <c r="B40" s="4" t="s">
        <v>51</v>
      </c>
      <c r="C40" s="4" t="s">
        <v>8</v>
      </c>
      <c r="D40" s="5"/>
      <c r="E40" t="s">
        <v>9</v>
      </c>
      <c r="F40" t="s">
        <v>10</v>
      </c>
      <c r="G40" t="s">
        <v>42</v>
      </c>
    </row>
    <row r="41" spans="1:7" x14ac:dyDescent="0.25">
      <c r="A41" s="4">
        <v>41473452500028</v>
      </c>
      <c r="B41" s="4" t="s">
        <v>52</v>
      </c>
      <c r="C41" s="4" t="s">
        <v>8</v>
      </c>
      <c r="D41" s="5"/>
      <c r="E41" t="s">
        <v>9</v>
      </c>
      <c r="F41" t="s">
        <v>10</v>
      </c>
      <c r="G41" t="s">
        <v>42</v>
      </c>
    </row>
    <row r="42" spans="1:7" x14ac:dyDescent="0.25">
      <c r="A42" s="4">
        <v>95750394900035</v>
      </c>
      <c r="B42" s="4" t="s">
        <v>53</v>
      </c>
      <c r="C42" s="4" t="s">
        <v>8</v>
      </c>
      <c r="D42" s="5"/>
      <c r="E42" t="s">
        <v>9</v>
      </c>
      <c r="F42" t="s">
        <v>10</v>
      </c>
      <c r="G42" t="s">
        <v>42</v>
      </c>
    </row>
    <row r="43" spans="1:7" x14ac:dyDescent="0.25">
      <c r="A43" s="4">
        <v>38367918000026</v>
      </c>
      <c r="B43" s="4" t="s">
        <v>54</v>
      </c>
      <c r="C43" s="4" t="s">
        <v>8</v>
      </c>
      <c r="D43" s="5"/>
      <c r="E43" t="s">
        <v>9</v>
      </c>
      <c r="F43" t="s">
        <v>10</v>
      </c>
      <c r="G43" t="s">
        <v>42</v>
      </c>
    </row>
    <row r="44" spans="1:7" x14ac:dyDescent="0.25">
      <c r="A44" s="4">
        <v>50125792700043</v>
      </c>
      <c r="B44" s="4" t="s">
        <v>55</v>
      </c>
      <c r="C44" s="4" t="s">
        <v>8</v>
      </c>
      <c r="D44" s="5"/>
      <c r="E44" t="s">
        <v>9</v>
      </c>
      <c r="F44" t="s">
        <v>10</v>
      </c>
      <c r="G44" t="s">
        <v>42</v>
      </c>
    </row>
    <row r="45" spans="1:7" x14ac:dyDescent="0.25">
      <c r="A45" s="4">
        <v>50947827700064</v>
      </c>
      <c r="B45" s="4" t="s">
        <v>56</v>
      </c>
      <c r="C45" s="4" t="s">
        <v>8</v>
      </c>
      <c r="D45" s="5"/>
      <c r="E45" t="s">
        <v>9</v>
      </c>
      <c r="F45" t="s">
        <v>10</v>
      </c>
      <c r="G45" t="s">
        <v>57</v>
      </c>
    </row>
    <row r="46" spans="1:7" x14ac:dyDescent="0.25">
      <c r="A46" s="4">
        <v>95680282100036</v>
      </c>
      <c r="B46" s="4" t="s">
        <v>58</v>
      </c>
      <c r="C46" s="4" t="s">
        <v>8</v>
      </c>
      <c r="D46" s="5"/>
      <c r="E46" t="s">
        <v>9</v>
      </c>
      <c r="F46" t="s">
        <v>10</v>
      </c>
      <c r="G46" t="s">
        <v>57</v>
      </c>
    </row>
    <row r="47" spans="1:7" x14ac:dyDescent="0.25">
      <c r="A47" s="4">
        <v>91020324900016</v>
      </c>
      <c r="B47" s="4" t="s">
        <v>59</v>
      </c>
      <c r="C47" s="4" t="s">
        <v>8</v>
      </c>
      <c r="D47" s="5"/>
      <c r="E47" t="s">
        <v>9</v>
      </c>
      <c r="F47" t="s">
        <v>10</v>
      </c>
      <c r="G47" t="s">
        <v>57</v>
      </c>
    </row>
    <row r="48" spans="1:7" x14ac:dyDescent="0.25">
      <c r="A48" s="4">
        <v>38335951001367</v>
      </c>
      <c r="B48" s="4" t="s">
        <v>60</v>
      </c>
      <c r="C48" s="4" t="s">
        <v>8</v>
      </c>
      <c r="D48" s="5"/>
      <c r="E48" t="s">
        <v>9</v>
      </c>
      <c r="F48" t="s">
        <v>10</v>
      </c>
      <c r="G48" t="s">
        <v>57</v>
      </c>
    </row>
    <row r="49" spans="1:7" x14ac:dyDescent="0.25">
      <c r="A49" s="4">
        <v>32913278100033</v>
      </c>
      <c r="B49" s="4" t="s">
        <v>61</v>
      </c>
      <c r="C49" s="4" t="s">
        <v>8</v>
      </c>
      <c r="D49" s="5"/>
      <c r="E49" t="s">
        <v>9</v>
      </c>
      <c r="F49" t="s">
        <v>10</v>
      </c>
      <c r="G49" t="s">
        <v>57</v>
      </c>
    </row>
    <row r="50" spans="1:7" x14ac:dyDescent="0.25">
      <c r="A50" s="4">
        <v>80161144300012</v>
      </c>
      <c r="B50" s="4" t="s">
        <v>62</v>
      </c>
      <c r="C50" s="4" t="s">
        <v>8</v>
      </c>
      <c r="D50" s="5"/>
      <c r="E50" t="s">
        <v>9</v>
      </c>
      <c r="F50" t="s">
        <v>10</v>
      </c>
      <c r="G50" t="s">
        <v>57</v>
      </c>
    </row>
    <row r="51" spans="1:7" x14ac:dyDescent="0.25">
      <c r="A51" s="4"/>
      <c r="B51" s="4" t="s">
        <v>63</v>
      </c>
      <c r="C51" s="4" t="s">
        <v>8</v>
      </c>
      <c r="D51" s="5"/>
      <c r="E51" t="s">
        <v>9</v>
      </c>
      <c r="F51" t="s">
        <v>10</v>
      </c>
      <c r="G51" t="s">
        <v>57</v>
      </c>
    </row>
    <row r="52" spans="1:7" x14ac:dyDescent="0.25">
      <c r="A52" s="4">
        <v>34265658400014</v>
      </c>
      <c r="B52" s="4" t="s">
        <v>64</v>
      </c>
      <c r="C52" s="4" t="s">
        <v>8</v>
      </c>
      <c r="D52" s="5"/>
      <c r="E52" t="s">
        <v>9</v>
      </c>
      <c r="F52" t="s">
        <v>10</v>
      </c>
      <c r="G52" t="s">
        <v>57</v>
      </c>
    </row>
    <row r="53" spans="1:7" x14ac:dyDescent="0.25">
      <c r="A53" s="4">
        <v>38179818000042</v>
      </c>
      <c r="B53" s="4" t="s">
        <v>65</v>
      </c>
      <c r="C53" s="4" t="s">
        <v>8</v>
      </c>
      <c r="D53" s="5"/>
      <c r="E53" t="s">
        <v>9</v>
      </c>
      <c r="F53" t="s">
        <v>10</v>
      </c>
      <c r="G53" t="s">
        <v>57</v>
      </c>
    </row>
    <row r="54" spans="1:7" x14ac:dyDescent="0.25">
      <c r="A54" s="4">
        <v>80938416700064</v>
      </c>
      <c r="B54" s="4" t="s">
        <v>66</v>
      </c>
      <c r="C54" s="4" t="s">
        <v>8</v>
      </c>
      <c r="D54" s="5"/>
      <c r="E54" t="s">
        <v>9</v>
      </c>
      <c r="F54" t="s">
        <v>10</v>
      </c>
      <c r="G54" t="s">
        <v>57</v>
      </c>
    </row>
    <row r="55" spans="1:7" x14ac:dyDescent="0.25">
      <c r="A55" s="4">
        <v>33009739500025</v>
      </c>
      <c r="B55" s="4" t="s">
        <v>67</v>
      </c>
      <c r="C55" s="4" t="s">
        <v>8</v>
      </c>
      <c r="D55" s="5"/>
      <c r="E55" t="s">
        <v>9</v>
      </c>
      <c r="F55" t="s">
        <v>10</v>
      </c>
      <c r="G55" t="s">
        <v>57</v>
      </c>
    </row>
    <row r="56" spans="1:7" x14ac:dyDescent="0.25">
      <c r="A56" s="4">
        <v>33009739500025</v>
      </c>
      <c r="B56" s="4" t="s">
        <v>68</v>
      </c>
      <c r="C56" s="4" t="s">
        <v>8</v>
      </c>
      <c r="D56" s="5"/>
      <c r="E56" t="s">
        <v>9</v>
      </c>
      <c r="F56" t="s">
        <v>10</v>
      </c>
      <c r="G56" t="s">
        <v>57</v>
      </c>
    </row>
    <row r="57" spans="1:7" x14ac:dyDescent="0.25">
      <c r="A57" s="4">
        <v>33009739500025</v>
      </c>
      <c r="B57" s="4" t="s">
        <v>69</v>
      </c>
      <c r="C57" s="4" t="s">
        <v>8</v>
      </c>
      <c r="D57" s="5"/>
      <c r="E57" t="s">
        <v>9</v>
      </c>
      <c r="F57" t="s">
        <v>10</v>
      </c>
      <c r="G57" t="s">
        <v>57</v>
      </c>
    </row>
    <row r="58" spans="1:7" x14ac:dyDescent="0.25">
      <c r="A58" s="4">
        <v>40229488800027</v>
      </c>
      <c r="B58" s="4" t="s">
        <v>70</v>
      </c>
      <c r="C58" s="4" t="s">
        <v>8</v>
      </c>
      <c r="D58" s="5"/>
      <c r="E58" t="s">
        <v>9</v>
      </c>
      <c r="F58" t="s">
        <v>10</v>
      </c>
      <c r="G58" t="s">
        <v>57</v>
      </c>
    </row>
    <row r="59" spans="1:7" x14ac:dyDescent="0.25">
      <c r="A59" s="4">
        <v>30738996500038</v>
      </c>
      <c r="B59" s="4" t="s">
        <v>71</v>
      </c>
      <c r="C59" s="4" t="s">
        <v>8</v>
      </c>
      <c r="D59" s="5"/>
      <c r="E59" t="s">
        <v>9</v>
      </c>
      <c r="F59" t="s">
        <v>10</v>
      </c>
      <c r="G59" t="s">
        <v>57</v>
      </c>
    </row>
    <row r="60" spans="1:7" x14ac:dyDescent="0.25">
      <c r="A60" s="4">
        <v>48118401800044</v>
      </c>
      <c r="B60" s="4" t="s">
        <v>72</v>
      </c>
      <c r="C60" s="4" t="s">
        <v>8</v>
      </c>
      <c r="D60" s="5"/>
      <c r="E60" t="s">
        <v>9</v>
      </c>
      <c r="F60" t="s">
        <v>10</v>
      </c>
      <c r="G60" t="s">
        <v>73</v>
      </c>
    </row>
    <row r="61" spans="1:7" x14ac:dyDescent="0.25">
      <c r="A61" s="4">
        <v>42999261300050</v>
      </c>
      <c r="B61" s="4" t="s">
        <v>74</v>
      </c>
      <c r="C61" s="4" t="s">
        <v>8</v>
      </c>
      <c r="D61" s="5"/>
      <c r="E61" t="s">
        <v>9</v>
      </c>
      <c r="F61" t="s">
        <v>10</v>
      </c>
      <c r="G61" t="s">
        <v>73</v>
      </c>
    </row>
    <row r="62" spans="1:7" x14ac:dyDescent="0.25">
      <c r="A62" s="4">
        <v>94305988100012</v>
      </c>
      <c r="B62" s="4" t="s">
        <v>75</v>
      </c>
      <c r="C62" s="4" t="s">
        <v>8</v>
      </c>
      <c r="D62" s="5"/>
      <c r="E62" t="s">
        <v>9</v>
      </c>
      <c r="F62" t="s">
        <v>10</v>
      </c>
      <c r="G62" t="s">
        <v>73</v>
      </c>
    </row>
    <row r="63" spans="1:7" x14ac:dyDescent="0.25">
      <c r="A63" s="4">
        <v>37879953000050</v>
      </c>
      <c r="B63" s="4" t="s">
        <v>76</v>
      </c>
      <c r="C63" s="4" t="s">
        <v>8</v>
      </c>
      <c r="D63" s="5"/>
      <c r="E63" t="s">
        <v>9</v>
      </c>
      <c r="F63" t="s">
        <v>10</v>
      </c>
      <c r="G63" t="s">
        <v>73</v>
      </c>
    </row>
    <row r="64" spans="1:7" x14ac:dyDescent="0.25">
      <c r="A64" s="4">
        <v>34014010200039</v>
      </c>
      <c r="B64" s="4" t="s">
        <v>77</v>
      </c>
      <c r="C64" s="4" t="s">
        <v>8</v>
      </c>
      <c r="D64" s="5"/>
      <c r="E64" t="s">
        <v>9</v>
      </c>
      <c r="F64" t="s">
        <v>10</v>
      </c>
      <c r="G64" t="s">
        <v>73</v>
      </c>
    </row>
    <row r="65" spans="1:7" x14ac:dyDescent="0.25">
      <c r="A65" s="4">
        <v>86050038800092</v>
      </c>
      <c r="B65" s="4" t="s">
        <v>78</v>
      </c>
      <c r="C65" s="4" t="s">
        <v>8</v>
      </c>
      <c r="D65" s="5"/>
      <c r="E65" t="s">
        <v>9</v>
      </c>
      <c r="F65" t="s">
        <v>10</v>
      </c>
      <c r="G65" t="s">
        <v>73</v>
      </c>
    </row>
    <row r="66" spans="1:7" x14ac:dyDescent="0.25">
      <c r="A66" s="4">
        <v>39936902400092</v>
      </c>
      <c r="B66" s="4" t="s">
        <v>79</v>
      </c>
      <c r="C66" s="4" t="s">
        <v>8</v>
      </c>
      <c r="D66" s="5"/>
      <c r="E66" t="s">
        <v>9</v>
      </c>
      <c r="F66" t="s">
        <v>10</v>
      </c>
      <c r="G66" t="s">
        <v>73</v>
      </c>
    </row>
    <row r="67" spans="1:7" x14ac:dyDescent="0.25">
      <c r="A67" s="4">
        <v>39838211900020</v>
      </c>
      <c r="B67" s="4" t="s">
        <v>80</v>
      </c>
      <c r="C67" s="4" t="s">
        <v>8</v>
      </c>
      <c r="D67" s="5"/>
      <c r="E67" t="s">
        <v>9</v>
      </c>
      <c r="F67" t="s">
        <v>10</v>
      </c>
      <c r="G67" t="s">
        <v>73</v>
      </c>
    </row>
    <row r="68" spans="1:7" x14ac:dyDescent="0.25">
      <c r="A68" s="4">
        <v>38294005400069</v>
      </c>
      <c r="B68" s="4" t="s">
        <v>81</v>
      </c>
      <c r="C68" s="4" t="s">
        <v>8</v>
      </c>
      <c r="D68" s="5"/>
      <c r="E68" t="s">
        <v>9</v>
      </c>
      <c r="F68" t="s">
        <v>10</v>
      </c>
      <c r="G68" t="s">
        <v>73</v>
      </c>
    </row>
    <row r="69" spans="1:7" x14ac:dyDescent="0.25">
      <c r="A69" s="4">
        <v>33478205900177</v>
      </c>
      <c r="B69" s="4" t="s">
        <v>82</v>
      </c>
      <c r="C69" s="4" t="s">
        <v>8</v>
      </c>
      <c r="D69" s="5"/>
      <c r="E69" t="s">
        <v>9</v>
      </c>
      <c r="F69" t="s">
        <v>10</v>
      </c>
      <c r="G69" t="s">
        <v>73</v>
      </c>
    </row>
    <row r="70" spans="1:7" x14ac:dyDescent="0.25">
      <c r="A70" s="4">
        <v>35188747600031</v>
      </c>
      <c r="B70" s="4" t="s">
        <v>83</v>
      </c>
      <c r="C70" s="4" t="s">
        <v>8</v>
      </c>
      <c r="D70" s="5"/>
      <c r="E70" t="s">
        <v>9</v>
      </c>
      <c r="F70" t="s">
        <v>10</v>
      </c>
      <c r="G70" t="s">
        <v>73</v>
      </c>
    </row>
    <row r="71" spans="1:7" x14ac:dyDescent="0.25">
      <c r="A71" s="4">
        <v>35244123200068</v>
      </c>
      <c r="B71" s="4" t="s">
        <v>84</v>
      </c>
      <c r="C71" s="4" t="s">
        <v>8</v>
      </c>
      <c r="D71" s="5"/>
      <c r="E71" t="s">
        <v>9</v>
      </c>
      <c r="F71" t="s">
        <v>10</v>
      </c>
      <c r="G71" t="s">
        <v>73</v>
      </c>
    </row>
    <row r="72" spans="1:7" x14ac:dyDescent="0.25">
      <c r="A72" s="4">
        <v>38178971800065</v>
      </c>
      <c r="B72" s="4" t="s">
        <v>85</v>
      </c>
      <c r="C72" s="4" t="s">
        <v>8</v>
      </c>
      <c r="D72" s="5"/>
      <c r="E72" t="s">
        <v>9</v>
      </c>
      <c r="F72" t="s">
        <v>10</v>
      </c>
      <c r="G72" t="s">
        <v>73</v>
      </c>
    </row>
    <row r="73" spans="1:7" x14ac:dyDescent="0.25">
      <c r="A73" s="4">
        <v>37805349000058</v>
      </c>
      <c r="B73" s="4" t="s">
        <v>86</v>
      </c>
      <c r="C73" s="4" t="s">
        <v>8</v>
      </c>
      <c r="D73" s="5"/>
      <c r="E73" t="s">
        <v>9</v>
      </c>
      <c r="F73" t="s">
        <v>10</v>
      </c>
      <c r="G73" t="s">
        <v>73</v>
      </c>
    </row>
    <row r="74" spans="1:7" x14ac:dyDescent="0.25">
      <c r="A74" s="4">
        <v>42492579000083</v>
      </c>
      <c r="B74" s="4" t="s">
        <v>87</v>
      </c>
      <c r="C74" s="4" t="s">
        <v>8</v>
      </c>
      <c r="D74" s="5"/>
      <c r="E74" t="s">
        <v>9</v>
      </c>
      <c r="F74" t="s">
        <v>10</v>
      </c>
      <c r="G74" t="s">
        <v>73</v>
      </c>
    </row>
    <row r="75" spans="1:7" x14ac:dyDescent="0.25">
      <c r="A75" s="4">
        <v>42492579000083</v>
      </c>
      <c r="B75" s="4" t="s">
        <v>88</v>
      </c>
      <c r="C75" s="4" t="s">
        <v>8</v>
      </c>
      <c r="D75" s="5"/>
      <c r="E75" t="s">
        <v>9</v>
      </c>
      <c r="F75" t="s">
        <v>10</v>
      </c>
      <c r="G75" t="s">
        <v>89</v>
      </c>
    </row>
    <row r="76" spans="1:7" x14ac:dyDescent="0.25">
      <c r="A76" s="4">
        <v>42343997500016</v>
      </c>
      <c r="B76" s="4" t="s">
        <v>90</v>
      </c>
      <c r="C76" s="4" t="s">
        <v>8</v>
      </c>
      <c r="D76" s="5"/>
      <c r="E76" t="s">
        <v>9</v>
      </c>
      <c r="F76" t="s">
        <v>10</v>
      </c>
      <c r="G76" t="s">
        <v>89</v>
      </c>
    </row>
    <row r="77" spans="1:7" x14ac:dyDescent="0.25">
      <c r="A77" s="4">
        <v>31214052800018</v>
      </c>
      <c r="B77" s="4" t="s">
        <v>91</v>
      </c>
      <c r="C77" s="4" t="s">
        <v>8</v>
      </c>
      <c r="D77" s="5"/>
      <c r="E77" t="s">
        <v>9</v>
      </c>
      <c r="F77" t="s">
        <v>10</v>
      </c>
      <c r="G77" t="s">
        <v>89</v>
      </c>
    </row>
    <row r="78" spans="1:7" x14ac:dyDescent="0.25">
      <c r="A78" s="4">
        <v>45046145400016</v>
      </c>
      <c r="B78" s="4" t="s">
        <v>92</v>
      </c>
      <c r="C78" s="4" t="s">
        <v>8</v>
      </c>
      <c r="D78" s="5"/>
      <c r="E78" t="s">
        <v>9</v>
      </c>
      <c r="F78" t="s">
        <v>10</v>
      </c>
      <c r="G78" t="s">
        <v>89</v>
      </c>
    </row>
    <row r="79" spans="1:7" x14ac:dyDescent="0.25">
      <c r="A79" s="4">
        <v>33533889300050</v>
      </c>
      <c r="B79" s="4" t="s">
        <v>93</v>
      </c>
      <c r="C79" s="4" t="s">
        <v>8</v>
      </c>
      <c r="D79" s="5"/>
      <c r="E79" t="s">
        <v>9</v>
      </c>
      <c r="F79" t="s">
        <v>10</v>
      </c>
      <c r="G79" t="s">
        <v>89</v>
      </c>
    </row>
    <row r="80" spans="1:7" x14ac:dyDescent="0.25">
      <c r="A80" s="4">
        <v>42101373100052</v>
      </c>
      <c r="B80" s="4" t="s">
        <v>94</v>
      </c>
      <c r="C80" s="4" t="s">
        <v>8</v>
      </c>
      <c r="D80" s="5"/>
      <c r="E80" t="s">
        <v>9</v>
      </c>
      <c r="F80" t="s">
        <v>10</v>
      </c>
      <c r="G80" t="s">
        <v>89</v>
      </c>
    </row>
    <row r="81" spans="1:7" x14ac:dyDescent="0.25">
      <c r="A81" s="4">
        <v>41455649800056</v>
      </c>
      <c r="B81" s="4" t="s">
        <v>95</v>
      </c>
      <c r="C81" s="4" t="s">
        <v>8</v>
      </c>
      <c r="D81" s="5"/>
      <c r="E81" t="s">
        <v>9</v>
      </c>
      <c r="F81" t="s">
        <v>10</v>
      </c>
      <c r="G81" t="s">
        <v>89</v>
      </c>
    </row>
    <row r="82" spans="1:7" x14ac:dyDescent="0.25">
      <c r="A82" s="4">
        <v>52792826100041</v>
      </c>
      <c r="B82" s="4" t="s">
        <v>96</v>
      </c>
      <c r="C82" s="4" t="s">
        <v>8</v>
      </c>
      <c r="D82" s="5"/>
      <c r="E82" t="s">
        <v>9</v>
      </c>
      <c r="F82" t="s">
        <v>10</v>
      </c>
      <c r="G82" t="s">
        <v>89</v>
      </c>
    </row>
    <row r="83" spans="1:7" x14ac:dyDescent="0.25">
      <c r="A83" s="4">
        <v>45160142100063</v>
      </c>
      <c r="B83" s="4" t="s">
        <v>97</v>
      </c>
      <c r="C83" s="4" t="s">
        <v>8</v>
      </c>
      <c r="D83" s="5"/>
      <c r="E83" t="s">
        <v>9</v>
      </c>
      <c r="F83" t="s">
        <v>10</v>
      </c>
      <c r="G83" t="s">
        <v>89</v>
      </c>
    </row>
    <row r="84" spans="1:7" x14ac:dyDescent="0.25">
      <c r="A84" s="4">
        <v>61203967700077</v>
      </c>
      <c r="B84" s="4" t="s">
        <v>98</v>
      </c>
      <c r="C84" s="4" t="s">
        <v>8</v>
      </c>
      <c r="D84" s="5"/>
      <c r="E84" t="s">
        <v>9</v>
      </c>
      <c r="F84" t="s">
        <v>10</v>
      </c>
      <c r="G84" t="s">
        <v>89</v>
      </c>
    </row>
    <row r="85" spans="1:7" x14ac:dyDescent="0.25">
      <c r="A85" s="4">
        <v>61203967700077</v>
      </c>
      <c r="B85" s="4" t="s">
        <v>99</v>
      </c>
      <c r="C85" s="4" t="s">
        <v>8</v>
      </c>
      <c r="D85" s="5"/>
      <c r="E85" t="s">
        <v>9</v>
      </c>
      <c r="F85" t="s">
        <v>10</v>
      </c>
      <c r="G85" t="s">
        <v>89</v>
      </c>
    </row>
    <row r="86" spans="1:7" x14ac:dyDescent="0.25">
      <c r="A86" s="4">
        <v>80857462800042</v>
      </c>
      <c r="B86" s="4" t="s">
        <v>100</v>
      </c>
      <c r="C86" s="4" t="s">
        <v>8</v>
      </c>
      <c r="D86" s="5"/>
      <c r="E86" t="s">
        <v>9</v>
      </c>
      <c r="F86" t="s">
        <v>10</v>
      </c>
      <c r="G86" t="s">
        <v>89</v>
      </c>
    </row>
    <row r="87" spans="1:7" x14ac:dyDescent="0.25">
      <c r="A87" s="4">
        <v>80857462800042</v>
      </c>
      <c r="B87" s="4" t="s">
        <v>101</v>
      </c>
      <c r="C87" s="4" t="s">
        <v>8</v>
      </c>
      <c r="D87" s="5"/>
      <c r="E87" t="s">
        <v>9</v>
      </c>
      <c r="F87" t="s">
        <v>10</v>
      </c>
      <c r="G87" t="s">
        <v>89</v>
      </c>
    </row>
    <row r="88" spans="1:7" x14ac:dyDescent="0.25">
      <c r="A88" s="4">
        <v>80857462800042</v>
      </c>
      <c r="B88" s="4" t="s">
        <v>102</v>
      </c>
      <c r="C88" s="4" t="s">
        <v>8</v>
      </c>
      <c r="D88" s="5"/>
      <c r="E88" t="s">
        <v>9</v>
      </c>
      <c r="F88" t="s">
        <v>10</v>
      </c>
      <c r="G88" t="s">
        <v>89</v>
      </c>
    </row>
    <row r="89" spans="1:7" x14ac:dyDescent="0.25">
      <c r="A89" s="4"/>
      <c r="B89" s="4" t="s">
        <v>103</v>
      </c>
      <c r="C89" s="4" t="s">
        <v>8</v>
      </c>
      <c r="D89" s="5"/>
      <c r="E89" t="s">
        <v>9</v>
      </c>
      <c r="F89" t="s">
        <v>10</v>
      </c>
      <c r="G89" t="s">
        <v>89</v>
      </c>
    </row>
    <row r="90" spans="1:7" x14ac:dyDescent="0.25">
      <c r="A90" s="4">
        <v>80857462800026</v>
      </c>
      <c r="B90" s="4" t="s">
        <v>104</v>
      </c>
      <c r="C90" s="4" t="s">
        <v>8</v>
      </c>
      <c r="D90" s="5"/>
      <c r="E90" t="s">
        <v>9</v>
      </c>
      <c r="F90" t="s">
        <v>10</v>
      </c>
      <c r="G90" t="s">
        <v>89</v>
      </c>
    </row>
    <row r="91" spans="1:7" x14ac:dyDescent="0.25">
      <c r="A91" s="4">
        <v>42330516800100</v>
      </c>
      <c r="B91" s="4" t="s">
        <v>105</v>
      </c>
      <c r="C91" s="4" t="s">
        <v>8</v>
      </c>
      <c r="D91" s="5"/>
      <c r="E91" t="s">
        <v>9</v>
      </c>
      <c r="F91" t="s">
        <v>10</v>
      </c>
      <c r="G91" t="s">
        <v>106</v>
      </c>
    </row>
    <row r="92" spans="1:7" x14ac:dyDescent="0.25">
      <c r="A92" s="4">
        <v>40993621800059</v>
      </c>
      <c r="B92" s="4" t="s">
        <v>107</v>
      </c>
      <c r="C92" s="4" t="s">
        <v>8</v>
      </c>
      <c r="D92" s="5"/>
      <c r="E92" t="s">
        <v>9</v>
      </c>
      <c r="F92" t="s">
        <v>10</v>
      </c>
      <c r="G92" t="s">
        <v>106</v>
      </c>
    </row>
    <row r="93" spans="1:7" x14ac:dyDescent="0.25">
      <c r="A93" s="4">
        <v>40866344100082</v>
      </c>
      <c r="B93" s="4" t="s">
        <v>108</v>
      </c>
      <c r="C93" s="4" t="s">
        <v>8</v>
      </c>
      <c r="D93" s="5"/>
      <c r="E93" t="s">
        <v>9</v>
      </c>
      <c r="F93" t="s">
        <v>10</v>
      </c>
      <c r="G93" t="s">
        <v>106</v>
      </c>
    </row>
    <row r="94" spans="1:7" x14ac:dyDescent="0.25">
      <c r="A94" s="4">
        <v>80857462800042</v>
      </c>
      <c r="B94" s="4" t="s">
        <v>109</v>
      </c>
      <c r="C94" s="4" t="s">
        <v>8</v>
      </c>
      <c r="D94" s="5"/>
      <c r="E94" t="s">
        <v>9</v>
      </c>
      <c r="F94" t="s">
        <v>10</v>
      </c>
      <c r="G94" t="s">
        <v>106</v>
      </c>
    </row>
    <row r="95" spans="1:7" x14ac:dyDescent="0.25">
      <c r="A95" s="4">
        <v>80857462800034</v>
      </c>
      <c r="B95" s="4" t="s">
        <v>110</v>
      </c>
      <c r="C95" s="4" t="s">
        <v>8</v>
      </c>
      <c r="D95" s="5"/>
      <c r="E95" t="s">
        <v>9</v>
      </c>
      <c r="F95" t="s">
        <v>10</v>
      </c>
      <c r="G95" t="s">
        <v>106</v>
      </c>
    </row>
    <row r="96" spans="1:7" x14ac:dyDescent="0.25">
      <c r="A96" s="4"/>
      <c r="B96" s="4" t="s">
        <v>111</v>
      </c>
      <c r="C96" s="4" t="s">
        <v>8</v>
      </c>
      <c r="D96" s="5"/>
      <c r="E96" t="s">
        <v>9</v>
      </c>
      <c r="F96" t="s">
        <v>10</v>
      </c>
      <c r="G96" t="s">
        <v>106</v>
      </c>
    </row>
    <row r="97" spans="1:7" x14ac:dyDescent="0.25">
      <c r="A97" s="4">
        <v>31501335900155</v>
      </c>
      <c r="B97" s="4" t="s">
        <v>112</v>
      </c>
      <c r="C97" s="4" t="s">
        <v>8</v>
      </c>
      <c r="D97" s="5"/>
      <c r="E97" t="s">
        <v>9</v>
      </c>
      <c r="F97" t="s">
        <v>10</v>
      </c>
      <c r="G97" t="s">
        <v>106</v>
      </c>
    </row>
    <row r="98" spans="1:7" x14ac:dyDescent="0.25">
      <c r="A98" s="4">
        <v>80857462800042</v>
      </c>
      <c r="B98" s="4" t="s">
        <v>113</v>
      </c>
      <c r="C98" s="4" t="s">
        <v>8</v>
      </c>
      <c r="D98" s="5"/>
      <c r="E98" t="s">
        <v>9</v>
      </c>
      <c r="F98" t="s">
        <v>10</v>
      </c>
      <c r="G98" t="s">
        <v>106</v>
      </c>
    </row>
    <row r="99" spans="1:7" x14ac:dyDescent="0.25">
      <c r="A99" s="4">
        <v>80857462800042</v>
      </c>
      <c r="B99" s="4" t="s">
        <v>114</v>
      </c>
      <c r="C99" s="4" t="s">
        <v>8</v>
      </c>
      <c r="D99" s="5"/>
      <c r="E99" t="s">
        <v>9</v>
      </c>
      <c r="F99" t="s">
        <v>10</v>
      </c>
      <c r="G99" t="s">
        <v>106</v>
      </c>
    </row>
    <row r="100" spans="1:7" x14ac:dyDescent="0.25">
      <c r="A100" s="4">
        <v>80857462800042</v>
      </c>
      <c r="B100" s="4" t="s">
        <v>115</v>
      </c>
      <c r="C100" s="4" t="s">
        <v>8</v>
      </c>
      <c r="D100" s="5"/>
      <c r="E100" t="s">
        <v>9</v>
      </c>
      <c r="F100" t="s">
        <v>10</v>
      </c>
      <c r="G100" t="s">
        <v>106</v>
      </c>
    </row>
    <row r="101" spans="1:7" x14ac:dyDescent="0.25">
      <c r="A101" s="4">
        <v>80857462800042</v>
      </c>
      <c r="B101" s="4" t="s">
        <v>116</v>
      </c>
      <c r="C101" s="4" t="s">
        <v>8</v>
      </c>
      <c r="D101" s="5"/>
      <c r="E101" t="s">
        <v>9</v>
      </c>
      <c r="F101" t="s">
        <v>10</v>
      </c>
      <c r="G101" t="s">
        <v>106</v>
      </c>
    </row>
    <row r="102" spans="1:7" x14ac:dyDescent="0.25">
      <c r="A102" s="4">
        <v>80857462800442</v>
      </c>
      <c r="B102" s="4" t="s">
        <v>117</v>
      </c>
      <c r="C102" s="4" t="s">
        <v>8</v>
      </c>
      <c r="D102" s="5"/>
      <c r="E102" t="s">
        <v>9</v>
      </c>
      <c r="F102" t="s">
        <v>10</v>
      </c>
      <c r="G102" t="s">
        <v>106</v>
      </c>
    </row>
    <row r="103" spans="1:7" x14ac:dyDescent="0.25">
      <c r="A103" s="4">
        <v>80857462800342</v>
      </c>
      <c r="B103" s="4" t="s">
        <v>118</v>
      </c>
      <c r="C103" s="4" t="s">
        <v>8</v>
      </c>
      <c r="D103" s="5"/>
      <c r="E103" t="s">
        <v>9</v>
      </c>
      <c r="F103" t="s">
        <v>10</v>
      </c>
      <c r="G103" t="s">
        <v>106</v>
      </c>
    </row>
    <row r="104" spans="1:7" x14ac:dyDescent="0.25">
      <c r="A104" s="4">
        <v>39374369500149</v>
      </c>
      <c r="B104" s="4" t="s">
        <v>119</v>
      </c>
      <c r="C104" s="4" t="s">
        <v>120</v>
      </c>
      <c r="D104" s="5">
        <v>46242</v>
      </c>
      <c r="E104" t="s">
        <v>121</v>
      </c>
      <c r="F104" t="s">
        <v>122</v>
      </c>
      <c r="G104" t="s">
        <v>57</v>
      </c>
    </row>
    <row r="105" spans="1:7" x14ac:dyDescent="0.25">
      <c r="A105" s="4">
        <v>53995508800031</v>
      </c>
      <c r="B105" s="4" t="s">
        <v>123</v>
      </c>
      <c r="C105" s="4" t="s">
        <v>120</v>
      </c>
      <c r="D105" s="5">
        <v>46242</v>
      </c>
      <c r="E105" t="s">
        <v>121</v>
      </c>
      <c r="F105" t="s">
        <v>122</v>
      </c>
      <c r="G105" t="s">
        <v>89</v>
      </c>
    </row>
    <row r="106" spans="1:7" x14ac:dyDescent="0.25">
      <c r="A106" s="4">
        <v>79392733600016</v>
      </c>
      <c r="B106" s="4" t="s">
        <v>124</v>
      </c>
      <c r="C106" s="4" t="s">
        <v>120</v>
      </c>
      <c r="D106" s="5">
        <v>46242</v>
      </c>
      <c r="E106" t="s">
        <v>121</v>
      </c>
      <c r="F106" t="s">
        <v>122</v>
      </c>
      <c r="G106" t="s">
        <v>11</v>
      </c>
    </row>
    <row r="107" spans="1:7" x14ac:dyDescent="0.25">
      <c r="A107" s="4">
        <v>39886209400024</v>
      </c>
      <c r="B107" s="4" t="s">
        <v>125</v>
      </c>
      <c r="C107" s="4" t="s">
        <v>8</v>
      </c>
      <c r="D107" s="5">
        <v>46240</v>
      </c>
      <c r="E107" t="s">
        <v>126</v>
      </c>
      <c r="F107" t="s">
        <v>127</v>
      </c>
      <c r="G107" t="s">
        <v>11</v>
      </c>
    </row>
    <row r="108" spans="1:7" x14ac:dyDescent="0.25">
      <c r="A108" s="4">
        <v>39825193400038</v>
      </c>
      <c r="B108" s="4" t="s">
        <v>128</v>
      </c>
      <c r="C108" s="4" t="s">
        <v>8</v>
      </c>
      <c r="D108" s="5">
        <v>46240</v>
      </c>
      <c r="E108" t="s">
        <v>126</v>
      </c>
      <c r="F108" t="s">
        <v>127</v>
      </c>
      <c r="G108" t="s">
        <v>11</v>
      </c>
    </row>
    <row r="109" spans="1:7" x14ac:dyDescent="0.25">
      <c r="A109" s="4">
        <v>44193577200059</v>
      </c>
      <c r="B109" s="4" t="s">
        <v>129</v>
      </c>
      <c r="C109" s="4" t="s">
        <v>8</v>
      </c>
      <c r="D109" s="5">
        <v>46240</v>
      </c>
      <c r="E109" t="s">
        <v>126</v>
      </c>
      <c r="F109" t="s">
        <v>127</v>
      </c>
      <c r="G109" t="s">
        <v>57</v>
      </c>
    </row>
    <row r="110" spans="1:7" x14ac:dyDescent="0.25">
      <c r="A110" s="4">
        <v>95142190800017</v>
      </c>
      <c r="B110" s="4" t="s">
        <v>130</v>
      </c>
      <c r="C110" s="4" t="s">
        <v>8</v>
      </c>
      <c r="D110" s="5">
        <v>46240</v>
      </c>
      <c r="E110" t="s">
        <v>126</v>
      </c>
      <c r="F110" t="s">
        <v>127</v>
      </c>
      <c r="G110" t="s">
        <v>57</v>
      </c>
    </row>
    <row r="111" spans="1:7" x14ac:dyDescent="0.25">
      <c r="A111" s="4">
        <v>84022723500016</v>
      </c>
      <c r="B111" s="4" t="s">
        <v>131</v>
      </c>
      <c r="C111" s="4" t="s">
        <v>8</v>
      </c>
      <c r="D111" s="5">
        <v>46240</v>
      </c>
      <c r="E111" t="s">
        <v>126</v>
      </c>
      <c r="F111" t="s">
        <v>127</v>
      </c>
      <c r="G111" t="s">
        <v>89</v>
      </c>
    </row>
    <row r="112" spans="1:7" x14ac:dyDescent="0.25">
      <c r="A112" s="4">
        <v>85287095500022</v>
      </c>
      <c r="B112" s="4" t="s">
        <v>132</v>
      </c>
      <c r="C112" s="4" t="s">
        <v>8</v>
      </c>
      <c r="D112" s="5">
        <v>46240</v>
      </c>
      <c r="E112" t="s">
        <v>126</v>
      </c>
      <c r="F112" t="s">
        <v>127</v>
      </c>
      <c r="G112" t="s">
        <v>89</v>
      </c>
    </row>
    <row r="113" spans="1:7" x14ac:dyDescent="0.25">
      <c r="A113" s="4">
        <v>51755153700023</v>
      </c>
      <c r="B113" s="4" t="s">
        <v>133</v>
      </c>
      <c r="C113" s="4" t="s">
        <v>8</v>
      </c>
      <c r="D113" s="5">
        <v>46240</v>
      </c>
      <c r="E113" t="s">
        <v>126</v>
      </c>
      <c r="F113" t="s">
        <v>127</v>
      </c>
      <c r="G113" t="s">
        <v>42</v>
      </c>
    </row>
    <row r="114" spans="1:7" x14ac:dyDescent="0.25">
      <c r="A114" s="4">
        <v>50173106100013</v>
      </c>
      <c r="B114" s="4" t="s">
        <v>134</v>
      </c>
      <c r="C114" s="4" t="s">
        <v>8</v>
      </c>
      <c r="D114" s="5">
        <v>46240</v>
      </c>
      <c r="E114" t="s">
        <v>126</v>
      </c>
      <c r="F114" t="s">
        <v>127</v>
      </c>
      <c r="G114" t="s">
        <v>106</v>
      </c>
    </row>
    <row r="115" spans="1:7" x14ac:dyDescent="0.25">
      <c r="A115" s="4">
        <v>45042100300036</v>
      </c>
      <c r="B115" s="4" t="s">
        <v>135</v>
      </c>
      <c r="C115" s="4" t="s">
        <v>8</v>
      </c>
      <c r="D115" s="5">
        <v>46240</v>
      </c>
      <c r="E115" t="s">
        <v>126</v>
      </c>
      <c r="F115" t="s">
        <v>127</v>
      </c>
      <c r="G115" t="s">
        <v>73</v>
      </c>
    </row>
    <row r="116" spans="1:7" x14ac:dyDescent="0.25">
      <c r="A116" s="4">
        <v>53170794100013</v>
      </c>
      <c r="B116" s="4" t="s">
        <v>136</v>
      </c>
      <c r="C116" s="4" t="s">
        <v>8</v>
      </c>
      <c r="D116" s="5">
        <v>46240</v>
      </c>
      <c r="E116" t="s">
        <v>126</v>
      </c>
      <c r="F116" t="s">
        <v>127</v>
      </c>
      <c r="G116" t="s">
        <v>137</v>
      </c>
    </row>
    <row r="117" spans="1:7" x14ac:dyDescent="0.25">
      <c r="A117" s="4">
        <v>80146930500024</v>
      </c>
      <c r="B117" s="4" t="s">
        <v>138</v>
      </c>
      <c r="C117" s="4" t="s">
        <v>8</v>
      </c>
      <c r="D117" s="5">
        <v>46240</v>
      </c>
      <c r="E117" t="s">
        <v>126</v>
      </c>
      <c r="F117" t="s">
        <v>127</v>
      </c>
      <c r="G117" t="s">
        <v>27</v>
      </c>
    </row>
    <row r="118" spans="1:7" x14ac:dyDescent="0.25">
      <c r="A118" s="4">
        <v>41966458600031</v>
      </c>
      <c r="B118" s="4" t="s">
        <v>139</v>
      </c>
      <c r="C118" s="4" t="s">
        <v>120</v>
      </c>
      <c r="D118" s="5">
        <v>46241</v>
      </c>
      <c r="E118" t="s">
        <v>140</v>
      </c>
      <c r="F118" t="s">
        <v>141</v>
      </c>
      <c r="G118" t="s">
        <v>142</v>
      </c>
    </row>
    <row r="119" spans="1:7" x14ac:dyDescent="0.25">
      <c r="A119" s="4">
        <v>32265981400048</v>
      </c>
      <c r="B119" s="4" t="s">
        <v>143</v>
      </c>
      <c r="C119" s="4" t="s">
        <v>120</v>
      </c>
      <c r="D119" s="5">
        <v>46241</v>
      </c>
      <c r="E119" t="s">
        <v>140</v>
      </c>
      <c r="F119" t="s">
        <v>141</v>
      </c>
      <c r="G119" t="s">
        <v>142</v>
      </c>
    </row>
    <row r="120" spans="1:7" x14ac:dyDescent="0.25">
      <c r="A120" s="4">
        <v>90531113000017</v>
      </c>
      <c r="B120" s="4" t="s">
        <v>144</v>
      </c>
      <c r="C120" s="4" t="s">
        <v>120</v>
      </c>
      <c r="D120" s="5">
        <v>46241</v>
      </c>
      <c r="E120" t="s">
        <v>140</v>
      </c>
      <c r="F120" t="s">
        <v>141</v>
      </c>
      <c r="G120" t="s">
        <v>11</v>
      </c>
    </row>
    <row r="121" spans="1:7" x14ac:dyDescent="0.25">
      <c r="A121" s="4">
        <v>53533279500058</v>
      </c>
      <c r="B121" s="4" t="s">
        <v>145</v>
      </c>
      <c r="C121" s="4" t="s">
        <v>120</v>
      </c>
      <c r="D121" s="5">
        <v>46241</v>
      </c>
      <c r="E121" t="s">
        <v>140</v>
      </c>
      <c r="F121" t="s">
        <v>141</v>
      </c>
      <c r="G121" t="s">
        <v>11</v>
      </c>
    </row>
    <row r="122" spans="1:7" x14ac:dyDescent="0.25">
      <c r="A122" s="4">
        <v>79899264000044</v>
      </c>
      <c r="B122" s="4" t="s">
        <v>146</v>
      </c>
      <c r="C122" s="4" t="s">
        <v>120</v>
      </c>
      <c r="D122" s="5">
        <v>46241</v>
      </c>
      <c r="E122" t="s">
        <v>140</v>
      </c>
      <c r="F122" t="s">
        <v>141</v>
      </c>
      <c r="G122" t="s">
        <v>11</v>
      </c>
    </row>
    <row r="123" spans="1:7" x14ac:dyDescent="0.25">
      <c r="A123" s="4">
        <v>40266888300026</v>
      </c>
      <c r="B123" s="4" t="s">
        <v>147</v>
      </c>
      <c r="C123" s="4" t="s">
        <v>120</v>
      </c>
      <c r="D123" s="5">
        <v>46241</v>
      </c>
      <c r="E123" t="s">
        <v>140</v>
      </c>
      <c r="F123" t="s">
        <v>141</v>
      </c>
      <c r="G123" t="s">
        <v>27</v>
      </c>
    </row>
    <row r="124" spans="1:7" x14ac:dyDescent="0.25">
      <c r="A124" s="4">
        <v>38811449800032</v>
      </c>
      <c r="B124" s="4" t="s">
        <v>148</v>
      </c>
      <c r="C124" s="4" t="s">
        <v>120</v>
      </c>
      <c r="D124" s="5">
        <v>46241</v>
      </c>
      <c r="E124" t="s">
        <v>140</v>
      </c>
      <c r="F124" t="s">
        <v>141</v>
      </c>
      <c r="G124" t="s">
        <v>27</v>
      </c>
    </row>
    <row r="125" spans="1:7" ht="30" x14ac:dyDescent="0.25">
      <c r="A125" s="4">
        <v>82082438100025</v>
      </c>
      <c r="B125" s="7" t="s">
        <v>149</v>
      </c>
      <c r="C125" s="8" t="s">
        <v>120</v>
      </c>
      <c r="D125" s="9">
        <v>46241</v>
      </c>
      <c r="E125" t="s">
        <v>140</v>
      </c>
      <c r="F125" t="s">
        <v>141</v>
      </c>
      <c r="G125" t="s">
        <v>42</v>
      </c>
    </row>
    <row r="126" spans="1:7" ht="45" x14ac:dyDescent="0.25">
      <c r="A126" s="4">
        <v>52963533600033</v>
      </c>
      <c r="B126" s="7" t="s">
        <v>150</v>
      </c>
      <c r="C126" s="8" t="s">
        <v>120</v>
      </c>
      <c r="D126" s="9">
        <v>46241</v>
      </c>
      <c r="E126" t="s">
        <v>140</v>
      </c>
      <c r="F126" t="s">
        <v>141</v>
      </c>
      <c r="G126" t="s">
        <v>42</v>
      </c>
    </row>
    <row r="127" spans="1:7" ht="30" x14ac:dyDescent="0.25">
      <c r="A127" s="4">
        <v>82948031800023</v>
      </c>
      <c r="B127" s="7" t="s">
        <v>151</v>
      </c>
      <c r="C127" s="8" t="s">
        <v>120</v>
      </c>
      <c r="D127" s="9">
        <v>46241</v>
      </c>
      <c r="E127" t="s">
        <v>140</v>
      </c>
      <c r="F127" t="s">
        <v>141</v>
      </c>
      <c r="G127" t="s">
        <v>137</v>
      </c>
    </row>
    <row r="128" spans="1:7" ht="30" x14ac:dyDescent="0.25">
      <c r="A128" s="4">
        <v>32909522800063</v>
      </c>
      <c r="B128" s="7" t="s">
        <v>152</v>
      </c>
      <c r="C128" s="8" t="s">
        <v>120</v>
      </c>
      <c r="D128" s="9">
        <v>46241</v>
      </c>
      <c r="E128" t="s">
        <v>140</v>
      </c>
      <c r="F128" t="s">
        <v>141</v>
      </c>
      <c r="G128" t="s">
        <v>137</v>
      </c>
    </row>
    <row r="129" spans="1:7" ht="45" x14ac:dyDescent="0.25">
      <c r="A129" s="4">
        <v>80226024000022</v>
      </c>
      <c r="B129" s="7" t="s">
        <v>153</v>
      </c>
      <c r="C129" s="8" t="s">
        <v>120</v>
      </c>
      <c r="D129" s="9">
        <v>46241</v>
      </c>
      <c r="E129" t="s">
        <v>140</v>
      </c>
      <c r="F129" t="s">
        <v>141</v>
      </c>
      <c r="G129" t="s">
        <v>57</v>
      </c>
    </row>
    <row r="130" spans="1:7" x14ac:dyDescent="0.25">
      <c r="A130" s="4">
        <v>38993529700033</v>
      </c>
      <c r="B130" s="7" t="s">
        <v>154</v>
      </c>
      <c r="C130" s="8" t="s">
        <v>120</v>
      </c>
      <c r="D130" s="9">
        <v>46241</v>
      </c>
      <c r="E130" t="s">
        <v>140</v>
      </c>
      <c r="F130" t="s">
        <v>141</v>
      </c>
      <c r="G130" t="s">
        <v>57</v>
      </c>
    </row>
    <row r="131" spans="1:7" ht="45" x14ac:dyDescent="0.25">
      <c r="A131" s="4">
        <v>78992005500017</v>
      </c>
      <c r="B131" s="7" t="s">
        <v>155</v>
      </c>
      <c r="C131" s="8" t="s">
        <v>120</v>
      </c>
      <c r="D131" s="9">
        <v>46241</v>
      </c>
      <c r="E131" t="s">
        <v>140</v>
      </c>
      <c r="F131" t="s">
        <v>141</v>
      </c>
      <c r="G131" t="s">
        <v>57</v>
      </c>
    </row>
    <row r="132" spans="1:7" ht="30" x14ac:dyDescent="0.25">
      <c r="A132" s="4">
        <v>89216717200014</v>
      </c>
      <c r="B132" s="7" t="s">
        <v>156</v>
      </c>
      <c r="C132" s="8" t="s">
        <v>120</v>
      </c>
      <c r="D132" s="9">
        <v>46241</v>
      </c>
      <c r="E132" t="s">
        <v>140</v>
      </c>
      <c r="F132" t="s">
        <v>141</v>
      </c>
      <c r="G132" t="s">
        <v>157</v>
      </c>
    </row>
    <row r="133" spans="1:7" ht="45" x14ac:dyDescent="0.25">
      <c r="A133" s="4">
        <v>82304378100017</v>
      </c>
      <c r="B133" s="7" t="s">
        <v>158</v>
      </c>
      <c r="C133" s="8" t="s">
        <v>120</v>
      </c>
      <c r="D133" s="9">
        <v>46241</v>
      </c>
      <c r="E133" t="s">
        <v>140</v>
      </c>
      <c r="F133" t="s">
        <v>141</v>
      </c>
      <c r="G133" t="s">
        <v>157</v>
      </c>
    </row>
    <row r="134" spans="1:7" x14ac:dyDescent="0.25">
      <c r="A134" s="4">
        <v>91953084000025</v>
      </c>
      <c r="B134" s="7" t="s">
        <v>159</v>
      </c>
      <c r="C134" s="8" t="s">
        <v>120</v>
      </c>
      <c r="D134" s="9">
        <v>46241</v>
      </c>
      <c r="E134" t="s">
        <v>140</v>
      </c>
      <c r="F134" t="s">
        <v>141</v>
      </c>
      <c r="G134" t="s">
        <v>73</v>
      </c>
    </row>
    <row r="135" spans="1:7" ht="30" x14ac:dyDescent="0.25">
      <c r="A135" s="4">
        <v>69715004300027</v>
      </c>
      <c r="B135" s="7" t="s">
        <v>160</v>
      </c>
      <c r="C135" s="8" t="s">
        <v>120</v>
      </c>
      <c r="D135" s="9">
        <v>46241</v>
      </c>
      <c r="E135" t="s">
        <v>140</v>
      </c>
      <c r="F135" t="s">
        <v>141</v>
      </c>
      <c r="G135" t="s">
        <v>73</v>
      </c>
    </row>
    <row r="136" spans="1:7" ht="45" x14ac:dyDescent="0.25">
      <c r="A136" s="4">
        <v>90481478700019</v>
      </c>
      <c r="B136" s="7" t="s">
        <v>161</v>
      </c>
      <c r="C136" s="8" t="s">
        <v>120</v>
      </c>
      <c r="D136" s="9">
        <v>46241</v>
      </c>
      <c r="E136" t="s">
        <v>140</v>
      </c>
      <c r="F136" t="s">
        <v>141</v>
      </c>
      <c r="G136" t="s">
        <v>89</v>
      </c>
    </row>
    <row r="137" spans="1:7" x14ac:dyDescent="0.25">
      <c r="A137" s="4">
        <v>93455056700010</v>
      </c>
      <c r="B137" s="7" t="s">
        <v>162</v>
      </c>
      <c r="C137" s="8" t="s">
        <v>120</v>
      </c>
      <c r="D137" s="9">
        <v>46241</v>
      </c>
      <c r="E137" t="s">
        <v>140</v>
      </c>
      <c r="F137" t="s">
        <v>141</v>
      </c>
      <c r="G137" t="s">
        <v>89</v>
      </c>
    </row>
    <row r="138" spans="1:7" x14ac:dyDescent="0.25">
      <c r="A138" s="4">
        <v>99317687400010</v>
      </c>
      <c r="B138" s="7" t="s">
        <v>163</v>
      </c>
      <c r="C138" s="8" t="s">
        <v>120</v>
      </c>
      <c r="D138" s="9">
        <v>46241</v>
      </c>
      <c r="E138" t="s">
        <v>140</v>
      </c>
      <c r="F138" t="s">
        <v>141</v>
      </c>
      <c r="G138" t="s">
        <v>89</v>
      </c>
    </row>
    <row r="139" spans="1:7" x14ac:dyDescent="0.25">
      <c r="A139" s="4">
        <v>82749846000027</v>
      </c>
      <c r="B139" s="7" t="s">
        <v>164</v>
      </c>
      <c r="C139" s="8" t="s">
        <v>120</v>
      </c>
      <c r="D139" s="9">
        <v>46233</v>
      </c>
      <c r="E139" t="s">
        <v>165</v>
      </c>
      <c r="F139" t="s">
        <v>166</v>
      </c>
      <c r="G139" t="s">
        <v>11</v>
      </c>
    </row>
    <row r="140" spans="1:7" ht="30" x14ac:dyDescent="0.25">
      <c r="A140" s="4">
        <v>80395651500024</v>
      </c>
      <c r="B140" s="7" t="s">
        <v>167</v>
      </c>
      <c r="C140" s="8" t="s">
        <v>120</v>
      </c>
      <c r="D140" s="9">
        <v>46233</v>
      </c>
      <c r="E140" t="s">
        <v>165</v>
      </c>
      <c r="F140" t="s">
        <v>166</v>
      </c>
      <c r="G140" t="s">
        <v>57</v>
      </c>
    </row>
    <row r="141" spans="1:7" ht="45" x14ac:dyDescent="0.25">
      <c r="A141" s="4">
        <v>32841150900081</v>
      </c>
      <c r="B141" s="7" t="s">
        <v>168</v>
      </c>
      <c r="C141" s="8" t="s">
        <v>120</v>
      </c>
      <c r="D141" s="9">
        <v>46233</v>
      </c>
      <c r="E141" t="s">
        <v>165</v>
      </c>
      <c r="F141" t="s">
        <v>166</v>
      </c>
      <c r="G141" t="s">
        <v>89</v>
      </c>
    </row>
    <row r="142" spans="1:7" ht="30" x14ac:dyDescent="0.25">
      <c r="A142" s="4">
        <v>84135133100027</v>
      </c>
      <c r="B142" s="7" t="s">
        <v>169</v>
      </c>
      <c r="C142" s="8" t="s">
        <v>120</v>
      </c>
      <c r="D142" s="9">
        <v>46233</v>
      </c>
      <c r="E142" t="s">
        <v>165</v>
      </c>
      <c r="F142" t="s">
        <v>166</v>
      </c>
      <c r="G142" t="s">
        <v>106</v>
      </c>
    </row>
    <row r="143" spans="1:7" x14ac:dyDescent="0.25">
      <c r="A143" s="4">
        <v>52841360200012</v>
      </c>
      <c r="B143" s="7" t="s">
        <v>170</v>
      </c>
      <c r="C143" s="8" t="s">
        <v>120</v>
      </c>
      <c r="D143" s="9">
        <v>46233</v>
      </c>
      <c r="E143" t="s">
        <v>165</v>
      </c>
      <c r="F143" t="s">
        <v>166</v>
      </c>
      <c r="G143" t="s">
        <v>73</v>
      </c>
    </row>
    <row r="144" spans="1:7" x14ac:dyDescent="0.25">
      <c r="A144" s="4">
        <v>38976008300037</v>
      </c>
      <c r="B144" s="7" t="s">
        <v>171</v>
      </c>
      <c r="C144" s="8" t="s">
        <v>120</v>
      </c>
      <c r="D144" s="9">
        <v>46233</v>
      </c>
      <c r="E144" t="s">
        <v>165</v>
      </c>
      <c r="F144" t="s">
        <v>166</v>
      </c>
      <c r="G144" t="s">
        <v>27</v>
      </c>
    </row>
    <row r="145" spans="1:7" x14ac:dyDescent="0.25">
      <c r="A145" s="4">
        <v>80857327300022</v>
      </c>
      <c r="B145" s="7" t="s">
        <v>172</v>
      </c>
      <c r="C145" s="8" t="s">
        <v>120</v>
      </c>
      <c r="D145" s="9">
        <v>46242</v>
      </c>
      <c r="E145" t="s">
        <v>173</v>
      </c>
      <c r="F145" t="s">
        <v>174</v>
      </c>
      <c r="G145" t="s">
        <v>11</v>
      </c>
    </row>
    <row r="146" spans="1:7" x14ac:dyDescent="0.25">
      <c r="A146" s="4">
        <v>42268731900059</v>
      </c>
      <c r="B146" s="7" t="s">
        <v>175</v>
      </c>
      <c r="C146" s="8" t="s">
        <v>120</v>
      </c>
      <c r="D146" s="9">
        <v>46242</v>
      </c>
      <c r="E146" t="s">
        <v>173</v>
      </c>
      <c r="F146" t="s">
        <v>174</v>
      </c>
      <c r="G146" t="s">
        <v>157</v>
      </c>
    </row>
    <row r="147" spans="1:7" x14ac:dyDescent="0.25">
      <c r="A147" s="4">
        <v>39805667100025</v>
      </c>
      <c r="B147" s="7" t="s">
        <v>176</v>
      </c>
      <c r="C147" s="8" t="s">
        <v>120</v>
      </c>
      <c r="D147" s="9">
        <v>46255</v>
      </c>
      <c r="E147" t="s">
        <v>177</v>
      </c>
      <c r="F147" t="s">
        <v>178</v>
      </c>
      <c r="G147" t="s">
        <v>27</v>
      </c>
    </row>
    <row r="148" spans="1:7" x14ac:dyDescent="0.25">
      <c r="A148" s="4">
        <v>80446983100023</v>
      </c>
      <c r="B148" s="7" t="s">
        <v>179</v>
      </c>
      <c r="C148" s="8" t="s">
        <v>120</v>
      </c>
      <c r="D148" s="9">
        <v>46255</v>
      </c>
      <c r="E148" t="s">
        <v>177</v>
      </c>
      <c r="F148" t="s">
        <v>178</v>
      </c>
      <c r="G148" t="s">
        <v>11</v>
      </c>
    </row>
    <row r="149" spans="1:7" x14ac:dyDescent="0.25">
      <c r="A149" s="4">
        <v>45004400300033</v>
      </c>
      <c r="B149" s="7" t="s">
        <v>180</v>
      </c>
      <c r="C149" s="8" t="s">
        <v>120</v>
      </c>
      <c r="D149" s="9">
        <v>46255</v>
      </c>
      <c r="E149" t="s">
        <v>177</v>
      </c>
      <c r="F149" t="s">
        <v>178</v>
      </c>
      <c r="G149" t="s">
        <v>11</v>
      </c>
    </row>
    <row r="150" spans="1:7" x14ac:dyDescent="0.25">
      <c r="A150" s="4">
        <v>80878303900015</v>
      </c>
      <c r="B150" s="7" t="s">
        <v>181</v>
      </c>
      <c r="C150" s="8" t="s">
        <v>120</v>
      </c>
      <c r="D150" s="9">
        <v>46255</v>
      </c>
      <c r="E150" t="s">
        <v>177</v>
      </c>
      <c r="F150" t="s">
        <v>178</v>
      </c>
      <c r="G150" t="s">
        <v>157</v>
      </c>
    </row>
    <row r="151" spans="1:7" ht="30" x14ac:dyDescent="0.25">
      <c r="A151" s="4">
        <v>87880480600015</v>
      </c>
      <c r="B151" s="7" t="s">
        <v>182</v>
      </c>
      <c r="C151" s="8" t="s">
        <v>120</v>
      </c>
      <c r="D151" s="9">
        <v>46255</v>
      </c>
      <c r="E151" t="s">
        <v>177</v>
      </c>
      <c r="F151" t="s">
        <v>178</v>
      </c>
      <c r="G151" t="s">
        <v>137</v>
      </c>
    </row>
    <row r="152" spans="1:7" ht="75" x14ac:dyDescent="0.25">
      <c r="A152" s="4">
        <v>40372878500037</v>
      </c>
      <c r="B152" s="7" t="s">
        <v>183</v>
      </c>
      <c r="C152" s="8" t="s">
        <v>120</v>
      </c>
      <c r="D152" s="9">
        <v>46255</v>
      </c>
      <c r="E152" t="s">
        <v>177</v>
      </c>
      <c r="F152" t="s">
        <v>178</v>
      </c>
      <c r="G152" t="s">
        <v>57</v>
      </c>
    </row>
    <row r="153" spans="1:7" ht="45" x14ac:dyDescent="0.25">
      <c r="A153" s="4">
        <v>94836743800017</v>
      </c>
      <c r="B153" s="7" t="s">
        <v>184</v>
      </c>
      <c r="C153" s="8" t="s">
        <v>120</v>
      </c>
      <c r="D153" s="9">
        <v>46255</v>
      </c>
      <c r="E153" t="s">
        <v>177</v>
      </c>
      <c r="F153" t="s">
        <v>178</v>
      </c>
      <c r="G153" t="s">
        <v>57</v>
      </c>
    </row>
    <row r="154" spans="1:7" x14ac:dyDescent="0.25">
      <c r="A154" s="4">
        <v>94435125300025</v>
      </c>
      <c r="B154" s="7" t="s">
        <v>185</v>
      </c>
      <c r="C154" s="8" t="s">
        <v>120</v>
      </c>
      <c r="D154" s="9">
        <v>46255</v>
      </c>
      <c r="E154" t="s">
        <v>177</v>
      </c>
      <c r="F154" t="s">
        <v>178</v>
      </c>
      <c r="G154" t="s">
        <v>42</v>
      </c>
    </row>
    <row r="155" spans="1:7" ht="30" x14ac:dyDescent="0.25">
      <c r="A155" s="4">
        <v>53934063800011</v>
      </c>
      <c r="B155" s="7" t="s">
        <v>186</v>
      </c>
      <c r="C155" s="8" t="s">
        <v>120</v>
      </c>
      <c r="D155" s="9">
        <v>46255</v>
      </c>
      <c r="E155" t="s">
        <v>177</v>
      </c>
      <c r="F155" t="s">
        <v>178</v>
      </c>
      <c r="G155" t="s">
        <v>106</v>
      </c>
    </row>
    <row r="156" spans="1:7" ht="45" x14ac:dyDescent="0.25">
      <c r="A156" s="4">
        <v>43917652000021</v>
      </c>
      <c r="B156" s="7" t="s">
        <v>187</v>
      </c>
      <c r="C156" s="8" t="s">
        <v>120</v>
      </c>
      <c r="D156" s="9" t="s">
        <v>188</v>
      </c>
      <c r="E156" t="s">
        <v>177</v>
      </c>
      <c r="F156" t="s">
        <v>178</v>
      </c>
      <c r="G156" t="s">
        <v>73</v>
      </c>
    </row>
    <row r="157" spans="1:7" ht="30" x14ac:dyDescent="0.25">
      <c r="A157" s="4">
        <v>98492283100016</v>
      </c>
      <c r="B157" s="7" t="s">
        <v>189</v>
      </c>
      <c r="C157" s="8" t="s">
        <v>120</v>
      </c>
      <c r="D157" s="9">
        <v>46255</v>
      </c>
      <c r="E157" t="s">
        <v>177</v>
      </c>
      <c r="F157" t="s">
        <v>178</v>
      </c>
      <c r="G157" t="s">
        <v>27</v>
      </c>
    </row>
    <row r="158" spans="1:7" x14ac:dyDescent="0.25">
      <c r="A158" s="4">
        <v>45189914000052</v>
      </c>
      <c r="B158" s="7" t="s">
        <v>190</v>
      </c>
      <c r="C158" s="8" t="s">
        <v>120</v>
      </c>
      <c r="D158" s="9">
        <v>46255</v>
      </c>
      <c r="E158" t="s">
        <v>177</v>
      </c>
      <c r="F158" t="s">
        <v>178</v>
      </c>
      <c r="G158" t="s">
        <v>89</v>
      </c>
    </row>
    <row r="159" spans="1:7" x14ac:dyDescent="0.25">
      <c r="A159" s="4">
        <v>47816318100058</v>
      </c>
      <c r="B159" s="7" t="s">
        <v>191</v>
      </c>
      <c r="C159" s="8" t="s">
        <v>8</v>
      </c>
      <c r="D159" s="9">
        <v>46254</v>
      </c>
      <c r="E159" t="s">
        <v>192</v>
      </c>
      <c r="F159" t="s">
        <v>193</v>
      </c>
      <c r="G159" t="s">
        <v>11</v>
      </c>
    </row>
    <row r="160" spans="1:7" x14ac:dyDescent="0.25">
      <c r="A160" s="4">
        <v>38997778600091</v>
      </c>
      <c r="B160" s="7" t="s">
        <v>194</v>
      </c>
      <c r="C160" s="8" t="s">
        <v>8</v>
      </c>
      <c r="D160" s="9">
        <v>46254</v>
      </c>
      <c r="E160" t="s">
        <v>192</v>
      </c>
      <c r="F160" t="s">
        <v>193</v>
      </c>
      <c r="G160" t="s">
        <v>11</v>
      </c>
    </row>
    <row r="161" spans="1:7" x14ac:dyDescent="0.25">
      <c r="A161" s="4">
        <v>45401145300049</v>
      </c>
      <c r="B161" s="7" t="s">
        <v>195</v>
      </c>
      <c r="C161" s="8" t="s">
        <v>8</v>
      </c>
      <c r="D161" s="9">
        <v>46254</v>
      </c>
      <c r="E161" t="s">
        <v>192</v>
      </c>
      <c r="F161" t="s">
        <v>193</v>
      </c>
      <c r="G161" t="s">
        <v>11</v>
      </c>
    </row>
    <row r="162" spans="1:7" x14ac:dyDescent="0.25">
      <c r="A162" s="4">
        <v>80856473600011</v>
      </c>
      <c r="B162" s="7" t="s">
        <v>196</v>
      </c>
      <c r="C162" s="8" t="s">
        <v>8</v>
      </c>
      <c r="D162" s="9">
        <v>46254</v>
      </c>
      <c r="E162" t="s">
        <v>192</v>
      </c>
      <c r="F162" t="s">
        <v>193</v>
      </c>
      <c r="G162" t="s">
        <v>11</v>
      </c>
    </row>
    <row r="163" spans="1:7" x14ac:dyDescent="0.25">
      <c r="A163" s="4">
        <v>38344199500057</v>
      </c>
      <c r="B163" s="7" t="s">
        <v>197</v>
      </c>
      <c r="C163" s="8" t="s">
        <v>8</v>
      </c>
      <c r="D163" s="9">
        <v>46254</v>
      </c>
      <c r="E163" t="s">
        <v>192</v>
      </c>
      <c r="F163" t="s">
        <v>193</v>
      </c>
      <c r="G163" t="s">
        <v>11</v>
      </c>
    </row>
    <row r="164" spans="1:7" x14ac:dyDescent="0.25">
      <c r="A164" s="4">
        <v>47947049400036</v>
      </c>
      <c r="B164" s="7" t="s">
        <v>198</v>
      </c>
      <c r="C164" s="8" t="s">
        <v>8</v>
      </c>
      <c r="D164" s="9">
        <v>46254</v>
      </c>
      <c r="E164" t="s">
        <v>192</v>
      </c>
      <c r="F164" t="s">
        <v>193</v>
      </c>
      <c r="G164" t="s">
        <v>11</v>
      </c>
    </row>
    <row r="165" spans="1:7" x14ac:dyDescent="0.25">
      <c r="A165" s="4">
        <v>80477078200022</v>
      </c>
      <c r="B165" s="7" t="s">
        <v>199</v>
      </c>
      <c r="C165" s="8" t="s">
        <v>8</v>
      </c>
      <c r="D165" s="9">
        <v>46254</v>
      </c>
      <c r="E165" t="s">
        <v>192</v>
      </c>
      <c r="F165" t="s">
        <v>193</v>
      </c>
      <c r="G165" t="s">
        <v>11</v>
      </c>
    </row>
    <row r="166" spans="1:7" x14ac:dyDescent="0.25">
      <c r="A166" s="4">
        <v>52503691900021</v>
      </c>
      <c r="B166" s="7" t="s">
        <v>200</v>
      </c>
      <c r="C166" s="8" t="s">
        <v>8</v>
      </c>
      <c r="D166" s="9">
        <v>46254</v>
      </c>
      <c r="E166" t="s">
        <v>192</v>
      </c>
      <c r="F166" t="s">
        <v>193</v>
      </c>
      <c r="G166" t="s">
        <v>11</v>
      </c>
    </row>
    <row r="167" spans="1:7" x14ac:dyDescent="0.25">
      <c r="A167" s="4">
        <v>44964837700108</v>
      </c>
      <c r="B167" s="7" t="s">
        <v>201</v>
      </c>
      <c r="C167" s="8" t="s">
        <v>8</v>
      </c>
      <c r="D167" s="9">
        <v>46254</v>
      </c>
      <c r="E167" t="s">
        <v>192</v>
      </c>
      <c r="F167" t="s">
        <v>193</v>
      </c>
      <c r="G167" t="s">
        <v>157</v>
      </c>
    </row>
    <row r="168" spans="1:7" x14ac:dyDescent="0.25">
      <c r="A168" s="4">
        <v>44394985400014</v>
      </c>
      <c r="B168" s="7" t="s">
        <v>202</v>
      </c>
      <c r="C168" s="8" t="s">
        <v>8</v>
      </c>
      <c r="D168" s="9">
        <v>46254</v>
      </c>
      <c r="E168" t="s">
        <v>192</v>
      </c>
      <c r="F168" t="s">
        <v>193</v>
      </c>
      <c r="G168" t="s">
        <v>157</v>
      </c>
    </row>
    <row r="169" spans="1:7" x14ac:dyDescent="0.25">
      <c r="A169" s="4">
        <v>43126854900026</v>
      </c>
      <c r="B169" s="7" t="s">
        <v>203</v>
      </c>
      <c r="C169" s="8" t="s">
        <v>8</v>
      </c>
      <c r="D169" s="9">
        <v>46254</v>
      </c>
      <c r="E169" t="s">
        <v>192</v>
      </c>
      <c r="F169" t="s">
        <v>193</v>
      </c>
      <c r="G169" t="s">
        <v>157</v>
      </c>
    </row>
    <row r="170" spans="1:7" x14ac:dyDescent="0.25">
      <c r="A170" s="4">
        <v>44396375600012</v>
      </c>
      <c r="B170" s="7" t="s">
        <v>204</v>
      </c>
      <c r="C170" s="8" t="s">
        <v>8</v>
      </c>
      <c r="D170" s="9">
        <v>46254</v>
      </c>
      <c r="E170" t="s">
        <v>192</v>
      </c>
      <c r="F170" t="s">
        <v>193</v>
      </c>
      <c r="G170" t="s">
        <v>157</v>
      </c>
    </row>
    <row r="171" spans="1:7" x14ac:dyDescent="0.25">
      <c r="A171" s="4">
        <v>44868053800015</v>
      </c>
      <c r="B171" s="7" t="s">
        <v>205</v>
      </c>
      <c r="C171" s="8" t="s">
        <v>8</v>
      </c>
      <c r="D171" s="9">
        <v>46254</v>
      </c>
      <c r="E171" t="s">
        <v>192</v>
      </c>
      <c r="F171" t="s">
        <v>193</v>
      </c>
      <c r="G171" t="s">
        <v>157</v>
      </c>
    </row>
    <row r="172" spans="1:7" x14ac:dyDescent="0.25">
      <c r="A172" s="4">
        <v>41769354600026</v>
      </c>
      <c r="B172" s="7" t="s">
        <v>206</v>
      </c>
      <c r="C172" s="8" t="s">
        <v>8</v>
      </c>
      <c r="D172" s="9">
        <v>46254</v>
      </c>
      <c r="E172" t="s">
        <v>192</v>
      </c>
      <c r="F172" t="s">
        <v>193</v>
      </c>
      <c r="G172" t="s">
        <v>157</v>
      </c>
    </row>
    <row r="173" spans="1:7" x14ac:dyDescent="0.25">
      <c r="A173" s="4">
        <v>81178668000017</v>
      </c>
      <c r="B173" s="7" t="s">
        <v>207</v>
      </c>
      <c r="C173" s="8" t="s">
        <v>8</v>
      </c>
      <c r="D173" s="9">
        <v>46254</v>
      </c>
      <c r="E173" t="s">
        <v>192</v>
      </c>
      <c r="F173" t="s">
        <v>193</v>
      </c>
      <c r="G173" t="s">
        <v>157</v>
      </c>
    </row>
    <row r="174" spans="1:7" x14ac:dyDescent="0.25">
      <c r="A174" s="4">
        <v>39837261500235</v>
      </c>
      <c r="B174" s="7" t="s">
        <v>208</v>
      </c>
      <c r="C174" s="8" t="s">
        <v>8</v>
      </c>
      <c r="D174" s="9">
        <v>46254</v>
      </c>
      <c r="E174" t="s">
        <v>192</v>
      </c>
      <c r="F174" t="s">
        <v>193</v>
      </c>
      <c r="G174" t="s">
        <v>157</v>
      </c>
    </row>
    <row r="175" spans="1:7" x14ac:dyDescent="0.25">
      <c r="A175" s="4">
        <v>78506209200073</v>
      </c>
      <c r="B175" s="7" t="s">
        <v>209</v>
      </c>
      <c r="C175" s="8" t="s">
        <v>8</v>
      </c>
      <c r="D175" s="9">
        <v>46254</v>
      </c>
      <c r="E175" t="s">
        <v>192</v>
      </c>
      <c r="F175" t="s">
        <v>193</v>
      </c>
      <c r="G175" t="s">
        <v>137</v>
      </c>
    </row>
    <row r="176" spans="1:7" x14ac:dyDescent="0.25">
      <c r="A176" s="4">
        <v>44751609700022</v>
      </c>
      <c r="B176" s="7" t="s">
        <v>210</v>
      </c>
      <c r="C176" s="8" t="s">
        <v>8</v>
      </c>
      <c r="D176" s="9">
        <v>46254</v>
      </c>
      <c r="E176" t="s">
        <v>192</v>
      </c>
      <c r="F176" t="s">
        <v>193</v>
      </c>
      <c r="G176" t="s">
        <v>137</v>
      </c>
    </row>
    <row r="177" spans="1:7" x14ac:dyDescent="0.25">
      <c r="A177" s="4">
        <v>30431728200081</v>
      </c>
      <c r="B177" s="7" t="s">
        <v>211</v>
      </c>
      <c r="C177" s="8" t="s">
        <v>8</v>
      </c>
      <c r="D177" s="9">
        <v>46254</v>
      </c>
      <c r="E177" t="s">
        <v>192</v>
      </c>
      <c r="F177" t="s">
        <v>193</v>
      </c>
      <c r="G177" t="s">
        <v>137</v>
      </c>
    </row>
    <row r="178" spans="1:7" x14ac:dyDescent="0.25">
      <c r="A178" s="4">
        <v>50480975700033</v>
      </c>
      <c r="B178" s="7" t="s">
        <v>212</v>
      </c>
      <c r="C178" s="8" t="s">
        <v>8</v>
      </c>
      <c r="D178" s="9">
        <v>46254</v>
      </c>
      <c r="E178" t="s">
        <v>192</v>
      </c>
      <c r="F178" t="s">
        <v>193</v>
      </c>
      <c r="G178" t="s">
        <v>137</v>
      </c>
    </row>
    <row r="179" spans="1:7" x14ac:dyDescent="0.25">
      <c r="A179" s="4">
        <v>50757164400057</v>
      </c>
      <c r="B179" s="7" t="s">
        <v>213</v>
      </c>
      <c r="C179" s="8" t="s">
        <v>8</v>
      </c>
      <c r="D179" s="9">
        <v>46254</v>
      </c>
      <c r="E179" t="s">
        <v>192</v>
      </c>
      <c r="F179" t="s">
        <v>193</v>
      </c>
      <c r="G179" t="s">
        <v>137</v>
      </c>
    </row>
    <row r="180" spans="1:7" x14ac:dyDescent="0.25">
      <c r="A180" s="4">
        <v>34095872700042</v>
      </c>
      <c r="B180" s="7" t="s">
        <v>214</v>
      </c>
      <c r="C180" s="8" t="s">
        <v>8</v>
      </c>
      <c r="D180" s="9">
        <v>46254</v>
      </c>
      <c r="E180" t="s">
        <v>192</v>
      </c>
      <c r="F180" t="s">
        <v>193</v>
      </c>
      <c r="G180" t="s">
        <v>137</v>
      </c>
    </row>
    <row r="181" spans="1:7" x14ac:dyDescent="0.25">
      <c r="A181" s="4">
        <v>38481523900064</v>
      </c>
      <c r="B181" s="7" t="s">
        <v>215</v>
      </c>
      <c r="C181" s="8" t="s">
        <v>8</v>
      </c>
      <c r="D181" s="9">
        <v>46254</v>
      </c>
      <c r="E181" t="s">
        <v>192</v>
      </c>
      <c r="F181" t="s">
        <v>193</v>
      </c>
      <c r="G181" t="s">
        <v>137</v>
      </c>
    </row>
    <row r="182" spans="1:7" x14ac:dyDescent="0.25">
      <c r="A182" s="4">
        <v>57210711800083</v>
      </c>
      <c r="B182" s="7" t="s">
        <v>216</v>
      </c>
      <c r="C182" s="8" t="s">
        <v>8</v>
      </c>
      <c r="D182" s="9">
        <v>46254</v>
      </c>
      <c r="E182" t="s">
        <v>192</v>
      </c>
      <c r="F182" t="s">
        <v>193</v>
      </c>
      <c r="G182" t="s">
        <v>137</v>
      </c>
    </row>
    <row r="183" spans="1:7" x14ac:dyDescent="0.25">
      <c r="A183" s="4">
        <v>39253155400047</v>
      </c>
      <c r="B183" s="7" t="s">
        <v>217</v>
      </c>
      <c r="C183" s="8" t="s">
        <v>8</v>
      </c>
      <c r="D183" s="9">
        <v>46254</v>
      </c>
      <c r="E183" t="s">
        <v>192</v>
      </c>
      <c r="F183" t="s">
        <v>193</v>
      </c>
      <c r="G183" t="s">
        <v>57</v>
      </c>
    </row>
    <row r="184" spans="1:7" x14ac:dyDescent="0.25">
      <c r="A184" s="4">
        <v>78506209200065</v>
      </c>
      <c r="B184" s="7" t="s">
        <v>218</v>
      </c>
      <c r="C184" s="8" t="s">
        <v>8</v>
      </c>
      <c r="D184" s="9">
        <v>46254</v>
      </c>
      <c r="E184" t="s">
        <v>192</v>
      </c>
      <c r="F184" t="s">
        <v>193</v>
      </c>
      <c r="G184" t="s">
        <v>57</v>
      </c>
    </row>
    <row r="185" spans="1:7" x14ac:dyDescent="0.25">
      <c r="A185" s="4">
        <v>79020284000019</v>
      </c>
      <c r="B185" s="7" t="s">
        <v>219</v>
      </c>
      <c r="C185" s="8" t="s">
        <v>8</v>
      </c>
      <c r="D185" s="9">
        <v>46254</v>
      </c>
      <c r="E185" t="s">
        <v>192</v>
      </c>
      <c r="F185" t="s">
        <v>193</v>
      </c>
      <c r="G185" t="s">
        <v>57</v>
      </c>
    </row>
    <row r="186" spans="1:7" x14ac:dyDescent="0.25">
      <c r="A186" s="4">
        <v>32631620500045</v>
      </c>
      <c r="B186" s="7" t="s">
        <v>220</v>
      </c>
      <c r="C186" s="8" t="s">
        <v>8</v>
      </c>
      <c r="D186" s="9">
        <v>46254</v>
      </c>
      <c r="E186" t="s">
        <v>192</v>
      </c>
      <c r="F186" t="s">
        <v>193</v>
      </c>
      <c r="G186" t="s">
        <v>57</v>
      </c>
    </row>
    <row r="187" spans="1:7" x14ac:dyDescent="0.25">
      <c r="A187" s="4">
        <v>39837261500177</v>
      </c>
      <c r="B187" s="7" t="s">
        <v>221</v>
      </c>
      <c r="C187" s="8" t="s">
        <v>8</v>
      </c>
      <c r="D187" s="9">
        <v>46254</v>
      </c>
      <c r="E187" t="s">
        <v>192</v>
      </c>
      <c r="F187" t="s">
        <v>193</v>
      </c>
      <c r="G187" t="s">
        <v>57</v>
      </c>
    </row>
    <row r="188" spans="1:7" x14ac:dyDescent="0.25">
      <c r="A188" s="4">
        <v>39837261500169</v>
      </c>
      <c r="B188" s="7" t="s">
        <v>222</v>
      </c>
      <c r="C188" s="8" t="s">
        <v>8</v>
      </c>
      <c r="D188" s="9">
        <v>46254</v>
      </c>
      <c r="E188" t="s">
        <v>192</v>
      </c>
      <c r="F188" t="s">
        <v>193</v>
      </c>
      <c r="G188" t="s">
        <v>57</v>
      </c>
    </row>
    <row r="189" spans="1:7" x14ac:dyDescent="0.25">
      <c r="A189" s="4">
        <v>39837261500029</v>
      </c>
      <c r="B189" s="7" t="s">
        <v>223</v>
      </c>
      <c r="C189" s="8" t="s">
        <v>8</v>
      </c>
      <c r="D189" s="9">
        <v>46254</v>
      </c>
      <c r="E189" t="s">
        <v>192</v>
      </c>
      <c r="F189" t="s">
        <v>193</v>
      </c>
      <c r="G189" t="s">
        <v>57</v>
      </c>
    </row>
    <row r="190" spans="1:7" x14ac:dyDescent="0.25">
      <c r="A190" s="4">
        <v>39837261500227</v>
      </c>
      <c r="B190" s="7" t="s">
        <v>224</v>
      </c>
      <c r="C190" s="8" t="s">
        <v>8</v>
      </c>
      <c r="D190" s="9">
        <v>46254</v>
      </c>
      <c r="E190" t="s">
        <v>192</v>
      </c>
      <c r="F190" t="s">
        <v>193</v>
      </c>
      <c r="G190" t="s">
        <v>57</v>
      </c>
    </row>
    <row r="191" spans="1:7" x14ac:dyDescent="0.25">
      <c r="A191" s="4">
        <v>88012062100011</v>
      </c>
      <c r="B191" s="7" t="s">
        <v>225</v>
      </c>
      <c r="C191" s="8" t="s">
        <v>8</v>
      </c>
      <c r="D191" s="9">
        <v>46254</v>
      </c>
      <c r="E191" t="s">
        <v>192</v>
      </c>
      <c r="F191" t="s">
        <v>193</v>
      </c>
      <c r="G191" t="s">
        <v>42</v>
      </c>
    </row>
    <row r="192" spans="1:7" x14ac:dyDescent="0.25">
      <c r="A192" s="4">
        <v>40327049900037</v>
      </c>
      <c r="B192" s="7" t="s">
        <v>226</v>
      </c>
      <c r="C192" s="8" t="s">
        <v>8</v>
      </c>
      <c r="D192" s="9">
        <v>46254</v>
      </c>
      <c r="E192" t="s">
        <v>192</v>
      </c>
      <c r="F192" t="s">
        <v>193</v>
      </c>
      <c r="G192" t="s">
        <v>42</v>
      </c>
    </row>
    <row r="193" spans="1:7" x14ac:dyDescent="0.25">
      <c r="A193" s="4">
        <v>87903448600024</v>
      </c>
      <c r="B193" s="7" t="s">
        <v>227</v>
      </c>
      <c r="C193" s="8" t="s">
        <v>8</v>
      </c>
      <c r="D193" s="9">
        <v>46254</v>
      </c>
      <c r="E193" t="s">
        <v>192</v>
      </c>
      <c r="F193" t="s">
        <v>193</v>
      </c>
      <c r="G193" t="s">
        <v>42</v>
      </c>
    </row>
    <row r="194" spans="1:7" x14ac:dyDescent="0.25">
      <c r="A194" s="4">
        <v>32876106900041</v>
      </c>
      <c r="B194" s="7" t="s">
        <v>228</v>
      </c>
      <c r="C194" s="8" t="s">
        <v>8</v>
      </c>
      <c r="D194" s="9">
        <v>46254</v>
      </c>
      <c r="E194" t="s">
        <v>192</v>
      </c>
      <c r="F194" t="s">
        <v>193</v>
      </c>
      <c r="G194" t="s">
        <v>42</v>
      </c>
    </row>
    <row r="195" spans="1:7" x14ac:dyDescent="0.25">
      <c r="A195" s="4">
        <v>83993050000013</v>
      </c>
      <c r="B195" s="10" t="s">
        <v>229</v>
      </c>
      <c r="C195" s="8" t="s">
        <v>8</v>
      </c>
      <c r="D195" s="9">
        <v>46254</v>
      </c>
      <c r="E195" t="s">
        <v>192</v>
      </c>
      <c r="F195" t="s">
        <v>193</v>
      </c>
      <c r="G195" t="s">
        <v>42</v>
      </c>
    </row>
    <row r="196" spans="1:7" x14ac:dyDescent="0.25">
      <c r="A196" s="4">
        <v>48246747900077</v>
      </c>
      <c r="B196" s="7" t="s">
        <v>230</v>
      </c>
      <c r="C196" s="8" t="s">
        <v>8</v>
      </c>
      <c r="D196" s="9">
        <v>46254</v>
      </c>
      <c r="E196" t="s">
        <v>192</v>
      </c>
      <c r="F196" t="s">
        <v>193</v>
      </c>
      <c r="G196" t="s">
        <v>42</v>
      </c>
    </row>
    <row r="197" spans="1:7" x14ac:dyDescent="0.25">
      <c r="A197" s="4">
        <v>52906722500068</v>
      </c>
      <c r="B197" s="7" t="s">
        <v>231</v>
      </c>
      <c r="C197" s="8" t="s">
        <v>8</v>
      </c>
      <c r="D197" s="9">
        <v>46254</v>
      </c>
      <c r="E197" t="s">
        <v>192</v>
      </c>
      <c r="F197" t="s">
        <v>193</v>
      </c>
      <c r="G197" t="s">
        <v>42</v>
      </c>
    </row>
    <row r="198" spans="1:7" x14ac:dyDescent="0.25">
      <c r="A198" s="4">
        <v>40985596200018</v>
      </c>
      <c r="B198" s="7" t="s">
        <v>232</v>
      </c>
      <c r="C198" s="8" t="s">
        <v>8</v>
      </c>
      <c r="D198" s="9">
        <v>46254</v>
      </c>
      <c r="E198" t="s">
        <v>192</v>
      </c>
      <c r="F198" t="s">
        <v>193</v>
      </c>
      <c r="G198" t="s">
        <v>42</v>
      </c>
    </row>
    <row r="199" spans="1:7" x14ac:dyDescent="0.25">
      <c r="A199" s="4">
        <v>49983136000023</v>
      </c>
      <c r="B199" s="7" t="s">
        <v>233</v>
      </c>
      <c r="C199" s="8" t="s">
        <v>8</v>
      </c>
      <c r="D199" s="9">
        <v>46254</v>
      </c>
      <c r="E199" t="s">
        <v>192</v>
      </c>
      <c r="F199" t="s">
        <v>193</v>
      </c>
      <c r="G199" t="s">
        <v>106</v>
      </c>
    </row>
    <row r="200" spans="1:7" x14ac:dyDescent="0.25">
      <c r="A200" s="4">
        <v>91966776600027</v>
      </c>
      <c r="B200" s="7" t="s">
        <v>234</v>
      </c>
      <c r="C200" s="8" t="s">
        <v>8</v>
      </c>
      <c r="D200" s="9">
        <v>46254</v>
      </c>
      <c r="E200" t="s">
        <v>192</v>
      </c>
      <c r="F200" t="s">
        <v>193</v>
      </c>
      <c r="G200" t="s">
        <v>106</v>
      </c>
    </row>
    <row r="201" spans="1:7" x14ac:dyDescent="0.25">
      <c r="A201" s="4">
        <v>42365637000040</v>
      </c>
      <c r="B201" s="7" t="s">
        <v>235</v>
      </c>
      <c r="C201" s="8" t="s">
        <v>8</v>
      </c>
      <c r="D201" s="9">
        <v>46254</v>
      </c>
      <c r="E201" t="s">
        <v>192</v>
      </c>
      <c r="F201" t="s">
        <v>193</v>
      </c>
      <c r="G201" t="s">
        <v>106</v>
      </c>
    </row>
    <row r="202" spans="1:7" x14ac:dyDescent="0.25">
      <c r="A202" s="4">
        <v>41393820000040</v>
      </c>
      <c r="B202" s="7" t="s">
        <v>236</v>
      </c>
      <c r="C202" s="8" t="s">
        <v>8</v>
      </c>
      <c r="D202" s="9">
        <v>46254</v>
      </c>
      <c r="E202" t="s">
        <v>192</v>
      </c>
      <c r="F202" t="s">
        <v>193</v>
      </c>
      <c r="G202" t="s">
        <v>106</v>
      </c>
    </row>
    <row r="203" spans="1:7" x14ac:dyDescent="0.25">
      <c r="A203" s="4">
        <v>38245718200055</v>
      </c>
      <c r="B203" s="7" t="s">
        <v>237</v>
      </c>
      <c r="C203" s="8" t="s">
        <v>8</v>
      </c>
      <c r="D203" s="9">
        <v>46254</v>
      </c>
      <c r="E203" t="s">
        <v>192</v>
      </c>
      <c r="F203" t="s">
        <v>193</v>
      </c>
      <c r="G203" t="s">
        <v>106</v>
      </c>
    </row>
    <row r="204" spans="1:7" x14ac:dyDescent="0.25">
      <c r="A204" s="4">
        <v>42809439500012</v>
      </c>
      <c r="B204" s="7" t="s">
        <v>238</v>
      </c>
      <c r="C204" s="8" t="s">
        <v>8</v>
      </c>
      <c r="D204" s="9">
        <v>46254</v>
      </c>
      <c r="E204" t="s">
        <v>192</v>
      </c>
      <c r="F204" t="s">
        <v>193</v>
      </c>
      <c r="G204" t="s">
        <v>106</v>
      </c>
    </row>
    <row r="205" spans="1:7" x14ac:dyDescent="0.25">
      <c r="A205" s="4">
        <v>84510560000017</v>
      </c>
      <c r="B205" s="7" t="s">
        <v>239</v>
      </c>
      <c r="C205" s="8" t="s">
        <v>8</v>
      </c>
      <c r="D205" s="9">
        <v>46254</v>
      </c>
      <c r="E205" t="s">
        <v>192</v>
      </c>
      <c r="F205" t="s">
        <v>193</v>
      </c>
      <c r="G205" t="s">
        <v>106</v>
      </c>
    </row>
    <row r="206" spans="1:7" x14ac:dyDescent="0.25">
      <c r="A206" s="4">
        <v>34994835600044</v>
      </c>
      <c r="B206" s="7" t="s">
        <v>240</v>
      </c>
      <c r="C206" s="8" t="s">
        <v>8</v>
      </c>
      <c r="D206" s="9">
        <v>46254</v>
      </c>
      <c r="E206" t="s">
        <v>192</v>
      </c>
      <c r="F206" t="s">
        <v>193</v>
      </c>
      <c r="G206" t="s">
        <v>106</v>
      </c>
    </row>
    <row r="207" spans="1:7" x14ac:dyDescent="0.25">
      <c r="A207" s="4">
        <v>82168843900016</v>
      </c>
      <c r="B207" s="7" t="s">
        <v>241</v>
      </c>
      <c r="C207" s="8" t="s">
        <v>8</v>
      </c>
      <c r="D207" s="9" t="s">
        <v>242</v>
      </c>
      <c r="E207" t="s">
        <v>192</v>
      </c>
      <c r="F207" t="s">
        <v>193</v>
      </c>
      <c r="G207" t="s">
        <v>73</v>
      </c>
    </row>
    <row r="208" spans="1:7" x14ac:dyDescent="0.25">
      <c r="A208" s="4">
        <v>79909799300023</v>
      </c>
      <c r="B208" s="7" t="s">
        <v>243</v>
      </c>
      <c r="C208" s="8" t="s">
        <v>8</v>
      </c>
      <c r="D208" s="9" t="s">
        <v>242</v>
      </c>
      <c r="E208" t="s">
        <v>192</v>
      </c>
      <c r="F208" t="s">
        <v>193</v>
      </c>
      <c r="G208" t="s">
        <v>73</v>
      </c>
    </row>
    <row r="209" spans="1:7" x14ac:dyDescent="0.25">
      <c r="A209" s="4">
        <v>43413256900022</v>
      </c>
      <c r="B209" s="11" t="s">
        <v>244</v>
      </c>
      <c r="C209" s="8" t="s">
        <v>8</v>
      </c>
      <c r="D209" s="9" t="s">
        <v>242</v>
      </c>
      <c r="E209" t="s">
        <v>192</v>
      </c>
      <c r="F209" t="s">
        <v>193</v>
      </c>
      <c r="G209" t="s">
        <v>73</v>
      </c>
    </row>
    <row r="210" spans="1:7" x14ac:dyDescent="0.25">
      <c r="A210" s="4">
        <v>71288083000096</v>
      </c>
      <c r="B210" s="12" t="s">
        <v>245</v>
      </c>
      <c r="C210" s="8" t="s">
        <v>8</v>
      </c>
      <c r="D210" s="9" t="s">
        <v>242</v>
      </c>
      <c r="E210" t="s">
        <v>192</v>
      </c>
      <c r="F210" t="s">
        <v>193</v>
      </c>
      <c r="G210" t="s">
        <v>73</v>
      </c>
    </row>
    <row r="211" spans="1:7" x14ac:dyDescent="0.25">
      <c r="A211" s="4">
        <v>89890865200032</v>
      </c>
      <c r="B211" s="11" t="s">
        <v>246</v>
      </c>
      <c r="C211" s="8" t="s">
        <v>8</v>
      </c>
      <c r="D211" s="9" t="s">
        <v>242</v>
      </c>
      <c r="E211" t="s">
        <v>192</v>
      </c>
      <c r="F211" t="s">
        <v>193</v>
      </c>
      <c r="G211" t="s">
        <v>73</v>
      </c>
    </row>
    <row r="212" spans="1:7" x14ac:dyDescent="0.25">
      <c r="A212" s="4">
        <v>45325620800035</v>
      </c>
      <c r="B212" s="12" t="s">
        <v>247</v>
      </c>
      <c r="C212" s="8" t="s">
        <v>8</v>
      </c>
      <c r="D212" s="9" t="s">
        <v>242</v>
      </c>
      <c r="E212" t="s">
        <v>192</v>
      </c>
      <c r="F212" t="s">
        <v>193</v>
      </c>
      <c r="G212" t="s">
        <v>73</v>
      </c>
    </row>
    <row r="213" spans="1:7" x14ac:dyDescent="0.25">
      <c r="A213" s="4">
        <v>93953408500012</v>
      </c>
      <c r="B213" s="11" t="s">
        <v>248</v>
      </c>
      <c r="C213" s="8" t="s">
        <v>8</v>
      </c>
      <c r="D213" s="9" t="s">
        <v>242</v>
      </c>
      <c r="E213" t="s">
        <v>192</v>
      </c>
      <c r="F213" t="s">
        <v>193</v>
      </c>
      <c r="G213" t="s">
        <v>73</v>
      </c>
    </row>
    <row r="214" spans="1:7" x14ac:dyDescent="0.25">
      <c r="A214" s="4">
        <v>38282271600025</v>
      </c>
      <c r="B214" s="12" t="s">
        <v>249</v>
      </c>
      <c r="C214" s="8" t="s">
        <v>8</v>
      </c>
      <c r="D214" s="9" t="s">
        <v>242</v>
      </c>
      <c r="E214" t="s">
        <v>192</v>
      </c>
      <c r="F214" t="s">
        <v>193</v>
      </c>
      <c r="G214" t="s">
        <v>73</v>
      </c>
    </row>
    <row r="215" spans="1:7" x14ac:dyDescent="0.25">
      <c r="A215" s="4">
        <v>50746492300055</v>
      </c>
      <c r="B215" s="11" t="s">
        <v>250</v>
      </c>
      <c r="C215" s="8" t="s">
        <v>8</v>
      </c>
      <c r="D215" s="9">
        <v>46254</v>
      </c>
      <c r="E215" t="s">
        <v>192</v>
      </c>
      <c r="F215" t="s">
        <v>193</v>
      </c>
      <c r="G215" t="s">
        <v>27</v>
      </c>
    </row>
    <row r="216" spans="1:7" x14ac:dyDescent="0.25">
      <c r="A216" s="4">
        <v>47933672900039</v>
      </c>
      <c r="B216" s="12" t="s">
        <v>251</v>
      </c>
      <c r="C216" s="8" t="s">
        <v>8</v>
      </c>
      <c r="D216" s="9">
        <v>46254</v>
      </c>
      <c r="E216" t="s">
        <v>192</v>
      </c>
      <c r="F216" t="s">
        <v>193</v>
      </c>
      <c r="G216" t="s">
        <v>27</v>
      </c>
    </row>
    <row r="217" spans="1:7" x14ac:dyDescent="0.25">
      <c r="A217" s="4">
        <v>79812520900048</v>
      </c>
      <c r="B217" s="11" t="s">
        <v>252</v>
      </c>
      <c r="C217" s="8" t="s">
        <v>8</v>
      </c>
      <c r="D217" s="9">
        <v>46254</v>
      </c>
      <c r="E217" t="s">
        <v>192</v>
      </c>
      <c r="F217" t="s">
        <v>193</v>
      </c>
      <c r="G217" t="s">
        <v>27</v>
      </c>
    </row>
    <row r="218" spans="1:7" x14ac:dyDescent="0.25">
      <c r="A218" s="4">
        <v>41891968400054</v>
      </c>
      <c r="B218" s="12" t="s">
        <v>253</v>
      </c>
      <c r="C218" s="8" t="s">
        <v>8</v>
      </c>
      <c r="D218" s="9">
        <v>46254</v>
      </c>
      <c r="E218" t="s">
        <v>192</v>
      </c>
      <c r="F218" t="s">
        <v>193</v>
      </c>
      <c r="G218" t="s">
        <v>27</v>
      </c>
    </row>
    <row r="219" spans="1:7" x14ac:dyDescent="0.25">
      <c r="A219" s="4">
        <v>50059434600107</v>
      </c>
      <c r="B219" s="11" t="s">
        <v>254</v>
      </c>
      <c r="C219" s="8" t="s">
        <v>8</v>
      </c>
      <c r="D219" s="9">
        <v>46254</v>
      </c>
      <c r="E219" t="s">
        <v>192</v>
      </c>
      <c r="F219" t="s">
        <v>193</v>
      </c>
      <c r="G219" t="s">
        <v>27</v>
      </c>
    </row>
    <row r="220" spans="1:7" x14ac:dyDescent="0.25">
      <c r="A220" s="4">
        <v>34079719000105</v>
      </c>
      <c r="B220" s="12" t="s">
        <v>255</v>
      </c>
      <c r="C220" s="8" t="s">
        <v>8</v>
      </c>
      <c r="D220" s="9">
        <v>46254</v>
      </c>
      <c r="E220" t="s">
        <v>192</v>
      </c>
      <c r="F220" t="s">
        <v>193</v>
      </c>
      <c r="G220" t="s">
        <v>27</v>
      </c>
    </row>
    <row r="221" spans="1:7" x14ac:dyDescent="0.25">
      <c r="A221" s="4">
        <v>92197484600039</v>
      </c>
      <c r="B221" s="11" t="s">
        <v>256</v>
      </c>
      <c r="C221" s="8" t="s">
        <v>8</v>
      </c>
      <c r="D221" s="9">
        <v>46254</v>
      </c>
      <c r="E221" t="s">
        <v>192</v>
      </c>
      <c r="F221" t="s">
        <v>193</v>
      </c>
      <c r="G221" t="s">
        <v>27</v>
      </c>
    </row>
    <row r="222" spans="1:7" x14ac:dyDescent="0.25">
      <c r="A222" s="4">
        <v>53762905700150</v>
      </c>
      <c r="B222" s="12" t="s">
        <v>257</v>
      </c>
      <c r="C222" s="8" t="s">
        <v>8</v>
      </c>
      <c r="D222" s="9">
        <v>46254</v>
      </c>
      <c r="E222" t="s">
        <v>192</v>
      </c>
      <c r="F222" t="s">
        <v>193</v>
      </c>
      <c r="G222" t="s">
        <v>27</v>
      </c>
    </row>
    <row r="223" spans="1:7" x14ac:dyDescent="0.25">
      <c r="A223" s="4">
        <v>45005122200021</v>
      </c>
      <c r="B223" s="11" t="s">
        <v>258</v>
      </c>
      <c r="C223" s="8" t="s">
        <v>8</v>
      </c>
      <c r="D223" s="9">
        <v>46254</v>
      </c>
      <c r="E223" t="s">
        <v>192</v>
      </c>
      <c r="F223" s="13" t="s">
        <v>193</v>
      </c>
      <c r="G223" t="s">
        <v>89</v>
      </c>
    </row>
    <row r="224" spans="1:7" x14ac:dyDescent="0.25">
      <c r="A224" s="4">
        <v>51331610900018</v>
      </c>
      <c r="B224" s="12" t="s">
        <v>259</v>
      </c>
      <c r="C224" s="8" t="s">
        <v>8</v>
      </c>
      <c r="D224" s="9">
        <v>46254</v>
      </c>
      <c r="E224" t="s">
        <v>192</v>
      </c>
      <c r="F224" s="14" t="s">
        <v>193</v>
      </c>
      <c r="G224" t="s">
        <v>89</v>
      </c>
    </row>
    <row r="225" spans="1:7" x14ac:dyDescent="0.25">
      <c r="A225" s="4">
        <v>80799891900011</v>
      </c>
      <c r="B225" s="11" t="s">
        <v>260</v>
      </c>
      <c r="C225" s="8" t="s">
        <v>8</v>
      </c>
      <c r="D225" s="9">
        <v>46254</v>
      </c>
      <c r="E225" t="s">
        <v>192</v>
      </c>
      <c r="F225" s="13" t="s">
        <v>193</v>
      </c>
      <c r="G225" t="s">
        <v>89</v>
      </c>
    </row>
    <row r="226" spans="1:7" x14ac:dyDescent="0.25">
      <c r="A226" s="4">
        <v>35216544300065</v>
      </c>
      <c r="B226" s="12" t="s">
        <v>261</v>
      </c>
      <c r="C226" s="8" t="s">
        <v>8</v>
      </c>
      <c r="D226" s="9">
        <v>46254</v>
      </c>
      <c r="E226" t="s">
        <v>192</v>
      </c>
      <c r="F226" s="14" t="s">
        <v>193</v>
      </c>
      <c r="G226" t="s">
        <v>89</v>
      </c>
    </row>
    <row r="227" spans="1:7" x14ac:dyDescent="0.25">
      <c r="A227" s="4">
        <v>50218526700023</v>
      </c>
      <c r="B227" s="11" t="s">
        <v>262</v>
      </c>
      <c r="C227" s="8" t="s">
        <v>8</v>
      </c>
      <c r="D227" s="9">
        <v>46254</v>
      </c>
      <c r="E227" t="s">
        <v>192</v>
      </c>
      <c r="F227" s="13" t="s">
        <v>193</v>
      </c>
      <c r="G227" t="s">
        <v>89</v>
      </c>
    </row>
    <row r="228" spans="1:7" x14ac:dyDescent="0.25">
      <c r="A228" s="4">
        <v>39081899500032</v>
      </c>
      <c r="B228" s="12" t="s">
        <v>263</v>
      </c>
      <c r="C228" s="8" t="s">
        <v>8</v>
      </c>
      <c r="D228" s="9">
        <v>46254</v>
      </c>
      <c r="E228" t="s">
        <v>192</v>
      </c>
      <c r="F228" s="14" t="s">
        <v>193</v>
      </c>
      <c r="G228" t="s">
        <v>89</v>
      </c>
    </row>
    <row r="229" spans="1:7" x14ac:dyDescent="0.25">
      <c r="A229" s="4">
        <v>80799891900011</v>
      </c>
      <c r="B229" s="11" t="s">
        <v>264</v>
      </c>
      <c r="C229" s="8" t="s">
        <v>8</v>
      </c>
      <c r="D229" s="9">
        <v>46254</v>
      </c>
      <c r="E229" t="s">
        <v>192</v>
      </c>
      <c r="F229" s="13" t="s">
        <v>193</v>
      </c>
      <c r="G229" t="s">
        <v>89</v>
      </c>
    </row>
    <row r="230" spans="1:7" x14ac:dyDescent="0.25">
      <c r="A230" s="4">
        <v>50218526700023</v>
      </c>
      <c r="B230" s="11" t="s">
        <v>265</v>
      </c>
      <c r="C230" s="8" t="s">
        <v>8</v>
      </c>
      <c r="D230" s="9">
        <v>46254</v>
      </c>
      <c r="E230" t="s">
        <v>192</v>
      </c>
      <c r="F230" s="13" t="s">
        <v>193</v>
      </c>
      <c r="G230" t="s">
        <v>89</v>
      </c>
    </row>
    <row r="231" spans="1:7" x14ac:dyDescent="0.25">
      <c r="A231" s="4">
        <v>37753500000048</v>
      </c>
      <c r="B231" s="15" t="s">
        <v>266</v>
      </c>
      <c r="C231" s="8" t="s">
        <v>8</v>
      </c>
      <c r="D231" s="9"/>
      <c r="E231" t="s">
        <v>192</v>
      </c>
      <c r="F231" s="16" t="s">
        <v>193</v>
      </c>
      <c r="G231" t="s">
        <v>89</v>
      </c>
    </row>
    <row r="232" spans="1:7" ht="60" x14ac:dyDescent="0.25">
      <c r="A232" s="17">
        <v>77563279700020</v>
      </c>
      <c r="B232" s="7" t="s">
        <v>267</v>
      </c>
      <c r="C232" s="8" t="s">
        <v>120</v>
      </c>
      <c r="D232" s="9">
        <v>46266</v>
      </c>
      <c r="E232" t="s">
        <v>268</v>
      </c>
      <c r="F232" t="s">
        <v>269</v>
      </c>
      <c r="G232" t="s">
        <v>11</v>
      </c>
    </row>
    <row r="233" spans="1:7" x14ac:dyDescent="0.25">
      <c r="A233" s="17">
        <v>45051912900016</v>
      </c>
      <c r="B233" s="7" t="s">
        <v>270</v>
      </c>
      <c r="C233" s="8" t="s">
        <v>120</v>
      </c>
      <c r="D233" s="9">
        <v>46266</v>
      </c>
      <c r="E233" t="s">
        <v>268</v>
      </c>
      <c r="F233" t="s">
        <v>269</v>
      </c>
      <c r="G233" t="s">
        <v>157</v>
      </c>
    </row>
    <row r="234" spans="1:7" x14ac:dyDescent="0.25">
      <c r="A234" s="17">
        <v>39293114300060</v>
      </c>
      <c r="B234" s="7" t="s">
        <v>271</v>
      </c>
      <c r="C234" s="8" t="s">
        <v>120</v>
      </c>
      <c r="D234" s="9">
        <v>46266</v>
      </c>
      <c r="E234" t="s">
        <v>268</v>
      </c>
      <c r="F234" t="s">
        <v>269</v>
      </c>
      <c r="G234" t="s">
        <v>89</v>
      </c>
    </row>
    <row r="235" spans="1:7" ht="30" x14ac:dyDescent="0.25">
      <c r="A235" s="17">
        <v>30176962600054</v>
      </c>
      <c r="B235" s="7" t="s">
        <v>272</v>
      </c>
      <c r="C235" s="8" t="s">
        <v>120</v>
      </c>
      <c r="D235" s="9">
        <v>46266</v>
      </c>
      <c r="E235" t="s">
        <v>268</v>
      </c>
      <c r="F235" t="s">
        <v>269</v>
      </c>
      <c r="G235" t="s">
        <v>57</v>
      </c>
    </row>
    <row r="236" spans="1:7" ht="30" x14ac:dyDescent="0.25">
      <c r="A236" s="17">
        <v>10559660500011</v>
      </c>
      <c r="B236" s="7" t="s">
        <v>273</v>
      </c>
      <c r="C236" s="8" t="s">
        <v>120</v>
      </c>
      <c r="D236" s="9">
        <v>46266</v>
      </c>
      <c r="E236" t="s">
        <v>268</v>
      </c>
      <c r="F236" t="s">
        <v>269</v>
      </c>
      <c r="G236" t="s">
        <v>137</v>
      </c>
    </row>
    <row r="237" spans="1:7" ht="30" x14ac:dyDescent="0.25">
      <c r="A237" s="17">
        <v>49137181100531</v>
      </c>
      <c r="B237" s="7" t="s">
        <v>274</v>
      </c>
      <c r="C237" s="8" t="s">
        <v>8</v>
      </c>
      <c r="D237" s="9">
        <v>46267</v>
      </c>
      <c r="E237" t="s">
        <v>275</v>
      </c>
      <c r="F237" t="s">
        <v>276</v>
      </c>
      <c r="G237" t="s">
        <v>106</v>
      </c>
    </row>
    <row r="238" spans="1:7" ht="30" x14ac:dyDescent="0.25">
      <c r="A238" s="17">
        <v>42880141900071</v>
      </c>
      <c r="B238" s="7" t="s">
        <v>277</v>
      </c>
      <c r="C238" s="8" t="s">
        <v>8</v>
      </c>
      <c r="D238" s="9">
        <v>46267</v>
      </c>
      <c r="E238" t="s">
        <v>275</v>
      </c>
      <c r="F238" t="s">
        <v>276</v>
      </c>
      <c r="G238" t="s">
        <v>42</v>
      </c>
    </row>
    <row r="239" spans="1:7" ht="30" x14ac:dyDescent="0.25">
      <c r="A239" s="17">
        <v>98404478400010</v>
      </c>
      <c r="B239" s="7" t="s">
        <v>278</v>
      </c>
      <c r="C239" s="8" t="s">
        <v>8</v>
      </c>
      <c r="D239" s="9">
        <v>46267</v>
      </c>
      <c r="E239" t="s">
        <v>275</v>
      </c>
      <c r="F239" t="s">
        <v>276</v>
      </c>
      <c r="G239" t="s">
        <v>42</v>
      </c>
    </row>
    <row r="240" spans="1:7" ht="30" x14ac:dyDescent="0.25">
      <c r="A240" s="17">
        <v>98475585000018</v>
      </c>
      <c r="B240" s="7" t="s">
        <v>279</v>
      </c>
      <c r="C240" s="8" t="s">
        <v>8</v>
      </c>
      <c r="D240" s="9">
        <v>46267</v>
      </c>
      <c r="E240" t="s">
        <v>275</v>
      </c>
      <c r="F240" t="s">
        <v>276</v>
      </c>
      <c r="G240" t="s">
        <v>73</v>
      </c>
    </row>
    <row r="241" spans="1:7" ht="30" x14ac:dyDescent="0.25">
      <c r="A241" s="17">
        <v>48495538000015</v>
      </c>
      <c r="B241" s="7" t="s">
        <v>280</v>
      </c>
      <c r="C241" s="8" t="s">
        <v>8</v>
      </c>
      <c r="D241" s="9">
        <v>46267</v>
      </c>
      <c r="E241" t="s">
        <v>275</v>
      </c>
      <c r="F241" t="s">
        <v>276</v>
      </c>
      <c r="G241" t="s">
        <v>57</v>
      </c>
    </row>
    <row r="242" spans="1:7" ht="30" x14ac:dyDescent="0.25">
      <c r="A242" s="17">
        <v>75259327700045</v>
      </c>
      <c r="B242" s="7" t="s">
        <v>281</v>
      </c>
      <c r="C242" s="8" t="s">
        <v>8</v>
      </c>
      <c r="D242" s="9">
        <v>46267</v>
      </c>
      <c r="E242" t="s">
        <v>275</v>
      </c>
      <c r="F242" t="s">
        <v>276</v>
      </c>
      <c r="G242" t="s">
        <v>11</v>
      </c>
    </row>
    <row r="243" spans="1:7" x14ac:dyDescent="0.25">
      <c r="A243" s="17">
        <v>45356015300067</v>
      </c>
      <c r="B243" s="7" t="s">
        <v>282</v>
      </c>
      <c r="C243" s="8" t="s">
        <v>8</v>
      </c>
      <c r="D243" s="9">
        <v>46267</v>
      </c>
      <c r="E243" t="s">
        <v>275</v>
      </c>
      <c r="F243" t="s">
        <v>276</v>
      </c>
      <c r="G243" t="s">
        <v>137</v>
      </c>
    </row>
    <row r="244" spans="1:7" ht="30" x14ac:dyDescent="0.25">
      <c r="A244" s="17" t="s">
        <v>283</v>
      </c>
      <c r="B244" s="7" t="s">
        <v>284</v>
      </c>
      <c r="C244" s="8" t="s">
        <v>120</v>
      </c>
      <c r="D244" s="9">
        <v>46268</v>
      </c>
      <c r="E244" t="s">
        <v>285</v>
      </c>
      <c r="F244" t="s">
        <v>286</v>
      </c>
      <c r="G244" t="s">
        <v>142</v>
      </c>
    </row>
    <row r="245" spans="1:7" ht="30" x14ac:dyDescent="0.25">
      <c r="A245" s="17" t="s">
        <v>287</v>
      </c>
      <c r="B245" s="7" t="s">
        <v>288</v>
      </c>
      <c r="C245" s="8" t="s">
        <v>120</v>
      </c>
      <c r="D245" s="9">
        <v>46268</v>
      </c>
      <c r="E245" t="s">
        <v>285</v>
      </c>
      <c r="F245" t="s">
        <v>286</v>
      </c>
      <c r="G245" t="s">
        <v>142</v>
      </c>
    </row>
    <row r="246" spans="1:7" x14ac:dyDescent="0.25">
      <c r="A246" s="17">
        <v>79871133900019</v>
      </c>
      <c r="B246" s="7" t="s">
        <v>289</v>
      </c>
      <c r="C246" s="8" t="s">
        <v>120</v>
      </c>
      <c r="D246" s="9">
        <v>46268</v>
      </c>
      <c r="E246" t="s">
        <v>285</v>
      </c>
      <c r="F246" t="s">
        <v>286</v>
      </c>
      <c r="G246" t="s">
        <v>27</v>
      </c>
    </row>
    <row r="247" spans="1:7" x14ac:dyDescent="0.25">
      <c r="A247" s="17">
        <v>95117322800010</v>
      </c>
      <c r="B247" s="7" t="s">
        <v>290</v>
      </c>
      <c r="C247" s="8" t="s">
        <v>120</v>
      </c>
      <c r="D247" s="9">
        <v>46268</v>
      </c>
      <c r="E247" t="s">
        <v>285</v>
      </c>
      <c r="F247" t="s">
        <v>286</v>
      </c>
      <c r="G247" t="s">
        <v>27</v>
      </c>
    </row>
    <row r="248" spans="1:7" x14ac:dyDescent="0.25">
      <c r="A248" s="17">
        <v>95117215400019</v>
      </c>
      <c r="B248" s="7" t="s">
        <v>291</v>
      </c>
      <c r="C248" s="8" t="s">
        <v>120</v>
      </c>
      <c r="D248" s="9">
        <v>46268</v>
      </c>
      <c r="E248" t="s">
        <v>285</v>
      </c>
      <c r="F248" t="s">
        <v>286</v>
      </c>
      <c r="G248" t="s">
        <v>42</v>
      </c>
    </row>
    <row r="249" spans="1:7" ht="30" x14ac:dyDescent="0.25">
      <c r="A249" s="17">
        <v>33562032400053</v>
      </c>
      <c r="B249" s="7" t="s">
        <v>292</v>
      </c>
      <c r="C249" s="8" t="s">
        <v>120</v>
      </c>
      <c r="D249" s="9">
        <v>46268</v>
      </c>
      <c r="E249" t="s">
        <v>285</v>
      </c>
      <c r="F249" t="s">
        <v>286</v>
      </c>
      <c r="G249" t="s">
        <v>42</v>
      </c>
    </row>
    <row r="250" spans="1:7" ht="30" x14ac:dyDescent="0.25">
      <c r="A250" s="17">
        <v>85024729700029</v>
      </c>
      <c r="B250" s="7" t="s">
        <v>293</v>
      </c>
      <c r="C250" s="8" t="s">
        <v>120</v>
      </c>
      <c r="D250" s="9">
        <v>46268</v>
      </c>
      <c r="E250" t="s">
        <v>285</v>
      </c>
      <c r="F250" t="s">
        <v>286</v>
      </c>
      <c r="G250" t="s">
        <v>137</v>
      </c>
    </row>
    <row r="251" spans="1:7" x14ac:dyDescent="0.25">
      <c r="A251" s="17">
        <v>39994907200025</v>
      </c>
      <c r="B251" s="7" t="s">
        <v>294</v>
      </c>
      <c r="C251" s="8" t="s">
        <v>120</v>
      </c>
      <c r="D251" s="9">
        <v>46268</v>
      </c>
      <c r="E251" t="s">
        <v>285</v>
      </c>
      <c r="F251" t="s">
        <v>286</v>
      </c>
      <c r="G251" t="s">
        <v>137</v>
      </c>
    </row>
    <row r="252" spans="1:7" x14ac:dyDescent="0.25">
      <c r="A252" s="17">
        <v>33429891600035</v>
      </c>
      <c r="B252" s="7" t="s">
        <v>295</v>
      </c>
      <c r="C252" s="8" t="s">
        <v>120</v>
      </c>
      <c r="D252" s="9">
        <v>46268</v>
      </c>
      <c r="E252" t="s">
        <v>285</v>
      </c>
      <c r="F252" t="s">
        <v>286</v>
      </c>
      <c r="G252" t="s">
        <v>57</v>
      </c>
    </row>
    <row r="253" spans="1:7" x14ac:dyDescent="0.25">
      <c r="A253" s="17">
        <v>32338865200014</v>
      </c>
      <c r="B253" s="7" t="s">
        <v>296</v>
      </c>
      <c r="C253" s="8" t="s">
        <v>120</v>
      </c>
      <c r="D253" s="9">
        <v>46268</v>
      </c>
      <c r="E253" t="s">
        <v>285</v>
      </c>
      <c r="F253" t="s">
        <v>286</v>
      </c>
      <c r="G253" t="s">
        <v>157</v>
      </c>
    </row>
    <row r="254" spans="1:7" x14ac:dyDescent="0.25">
      <c r="A254" s="17">
        <v>42981939400033</v>
      </c>
      <c r="B254" s="7" t="s">
        <v>297</v>
      </c>
      <c r="C254" s="8" t="s">
        <v>120</v>
      </c>
      <c r="D254" s="9">
        <v>46268</v>
      </c>
      <c r="E254" t="s">
        <v>285</v>
      </c>
      <c r="F254" t="s">
        <v>286</v>
      </c>
      <c r="G254" t="s">
        <v>73</v>
      </c>
    </row>
    <row r="255" spans="1:7" x14ac:dyDescent="0.25">
      <c r="A255" s="17">
        <v>75232394900038</v>
      </c>
      <c r="B255" s="7" t="s">
        <v>298</v>
      </c>
      <c r="C255" s="8" t="s">
        <v>120</v>
      </c>
      <c r="D255" s="9">
        <v>46268</v>
      </c>
      <c r="E255" t="s">
        <v>285</v>
      </c>
      <c r="F255" t="s">
        <v>286</v>
      </c>
      <c r="G255" t="s">
        <v>89</v>
      </c>
    </row>
    <row r="256" spans="1:7" ht="30" x14ac:dyDescent="0.25">
      <c r="A256" s="17">
        <v>50980445600028</v>
      </c>
      <c r="B256" s="7" t="s">
        <v>299</v>
      </c>
      <c r="C256" s="8" t="s">
        <v>8</v>
      </c>
      <c r="D256" s="18"/>
      <c r="E256" t="s">
        <v>300</v>
      </c>
      <c r="F256" t="s">
        <v>301</v>
      </c>
      <c r="G256" t="s">
        <v>89</v>
      </c>
    </row>
    <row r="257" spans="1:7" ht="45" x14ac:dyDescent="0.25">
      <c r="A257" s="17">
        <v>84110999400027</v>
      </c>
      <c r="B257" s="7" t="s">
        <v>302</v>
      </c>
      <c r="C257" s="8" t="s">
        <v>8</v>
      </c>
      <c r="D257" s="18"/>
      <c r="E257" t="s">
        <v>300</v>
      </c>
      <c r="F257" t="s">
        <v>301</v>
      </c>
      <c r="G257" t="s">
        <v>89</v>
      </c>
    </row>
    <row r="258" spans="1:7" x14ac:dyDescent="0.25">
      <c r="A258" s="17">
        <v>78867740900013</v>
      </c>
      <c r="B258" s="7" t="s">
        <v>303</v>
      </c>
      <c r="C258" s="8" t="s">
        <v>8</v>
      </c>
      <c r="D258" s="18"/>
      <c r="E258" t="s">
        <v>300</v>
      </c>
      <c r="F258" t="s">
        <v>301</v>
      </c>
      <c r="G258" t="s">
        <v>137</v>
      </c>
    </row>
    <row r="259" spans="1:7" ht="60" x14ac:dyDescent="0.25">
      <c r="A259" s="17">
        <v>42158670200027</v>
      </c>
      <c r="B259" s="7" t="s">
        <v>304</v>
      </c>
      <c r="C259" s="8" t="s">
        <v>8</v>
      </c>
      <c r="D259" s="18"/>
      <c r="E259" t="s">
        <v>300</v>
      </c>
      <c r="F259" t="s">
        <v>301</v>
      </c>
      <c r="G259" t="s">
        <v>137</v>
      </c>
    </row>
    <row r="260" spans="1:7" ht="30" x14ac:dyDescent="0.25">
      <c r="A260" s="17">
        <v>43916991300043</v>
      </c>
      <c r="B260" s="7" t="s">
        <v>305</v>
      </c>
      <c r="C260" s="8" t="s">
        <v>120</v>
      </c>
      <c r="D260" s="9">
        <v>46281</v>
      </c>
      <c r="E260" t="s">
        <v>306</v>
      </c>
      <c r="F260" t="s">
        <v>307</v>
      </c>
      <c r="G260" t="s">
        <v>11</v>
      </c>
    </row>
    <row r="261" spans="1:7" x14ac:dyDescent="0.25">
      <c r="A261" s="17">
        <v>41302821800019</v>
      </c>
      <c r="B261" s="7" t="s">
        <v>308</v>
      </c>
      <c r="C261" s="8" t="s">
        <v>120</v>
      </c>
      <c r="D261" s="18" t="s">
        <v>309</v>
      </c>
      <c r="E261" t="s">
        <v>306</v>
      </c>
      <c r="F261" t="s">
        <v>307</v>
      </c>
      <c r="G261" t="s">
        <v>11</v>
      </c>
    </row>
    <row r="262" spans="1:7" ht="45" x14ac:dyDescent="0.25">
      <c r="A262" s="17">
        <v>42058761000023</v>
      </c>
      <c r="B262" s="7" t="s">
        <v>310</v>
      </c>
      <c r="C262" s="8" t="s">
        <v>120</v>
      </c>
      <c r="D262" s="9">
        <v>46281</v>
      </c>
      <c r="E262" t="s">
        <v>306</v>
      </c>
      <c r="F262" t="s">
        <v>307</v>
      </c>
      <c r="G262" t="s">
        <v>142</v>
      </c>
    </row>
    <row r="263" spans="1:7" ht="30" x14ac:dyDescent="0.25">
      <c r="A263" s="17">
        <v>48475462700012</v>
      </c>
      <c r="B263" s="7" t="s">
        <v>311</v>
      </c>
      <c r="C263" s="8" t="s">
        <v>120</v>
      </c>
      <c r="D263" s="9">
        <v>46281</v>
      </c>
      <c r="E263" t="s">
        <v>306</v>
      </c>
      <c r="F263" t="s">
        <v>307</v>
      </c>
      <c r="G263" t="s">
        <v>142</v>
      </c>
    </row>
    <row r="264" spans="1:7" ht="30" x14ac:dyDescent="0.25">
      <c r="A264" s="17">
        <v>41513005300051</v>
      </c>
      <c r="B264" s="7" t="s">
        <v>312</v>
      </c>
      <c r="C264" s="8" t="s">
        <v>120</v>
      </c>
      <c r="D264" s="9">
        <v>46281</v>
      </c>
      <c r="E264" t="s">
        <v>306</v>
      </c>
      <c r="F264" t="s">
        <v>307</v>
      </c>
      <c r="G264" t="s">
        <v>27</v>
      </c>
    </row>
    <row r="265" spans="1:7" x14ac:dyDescent="0.25">
      <c r="A265" s="17">
        <v>40355430600049</v>
      </c>
      <c r="B265" s="7" t="s">
        <v>313</v>
      </c>
      <c r="C265" s="8" t="s">
        <v>120</v>
      </c>
      <c r="D265" s="9">
        <v>46281</v>
      </c>
      <c r="E265" t="s">
        <v>306</v>
      </c>
      <c r="F265" t="s">
        <v>307</v>
      </c>
      <c r="G265" t="s">
        <v>27</v>
      </c>
    </row>
    <row r="266" spans="1:7" ht="45" x14ac:dyDescent="0.25">
      <c r="A266" s="17">
        <v>89913413400019</v>
      </c>
      <c r="B266" s="7" t="s">
        <v>314</v>
      </c>
      <c r="C266" s="8" t="s">
        <v>120</v>
      </c>
      <c r="D266" s="9">
        <v>46281</v>
      </c>
      <c r="E266" t="s">
        <v>306</v>
      </c>
      <c r="F266" t="s">
        <v>307</v>
      </c>
      <c r="G266" t="s">
        <v>42</v>
      </c>
    </row>
    <row r="267" spans="1:7" x14ac:dyDescent="0.25">
      <c r="A267" s="17">
        <v>84815141100016</v>
      </c>
      <c r="B267" s="7" t="s">
        <v>315</v>
      </c>
      <c r="C267" s="8" t="s">
        <v>120</v>
      </c>
      <c r="D267" s="9">
        <v>46281</v>
      </c>
      <c r="E267" t="s">
        <v>306</v>
      </c>
      <c r="F267" t="s">
        <v>307</v>
      </c>
      <c r="G267" t="s">
        <v>42</v>
      </c>
    </row>
    <row r="268" spans="1:7" x14ac:dyDescent="0.25">
      <c r="A268" s="17">
        <v>79066089800020</v>
      </c>
      <c r="B268" s="7" t="s">
        <v>316</v>
      </c>
      <c r="C268" s="8" t="s">
        <v>120</v>
      </c>
      <c r="D268" s="9">
        <v>46281</v>
      </c>
      <c r="E268" t="s">
        <v>306</v>
      </c>
      <c r="F268" t="s">
        <v>307</v>
      </c>
      <c r="G268" t="s">
        <v>157</v>
      </c>
    </row>
    <row r="269" spans="1:7" ht="30" x14ac:dyDescent="0.25">
      <c r="A269" s="17">
        <v>89348496400026</v>
      </c>
      <c r="B269" s="7" t="s">
        <v>317</v>
      </c>
      <c r="C269" s="8" t="s">
        <v>120</v>
      </c>
      <c r="D269" s="9">
        <v>46281</v>
      </c>
      <c r="E269" t="s">
        <v>306</v>
      </c>
      <c r="F269" t="s">
        <v>307</v>
      </c>
      <c r="G269" t="s">
        <v>157</v>
      </c>
    </row>
    <row r="270" spans="1:7" ht="45" x14ac:dyDescent="0.25">
      <c r="A270" s="17">
        <v>90384014800022</v>
      </c>
      <c r="B270" s="7" t="s">
        <v>318</v>
      </c>
      <c r="C270" s="8" t="s">
        <v>120</v>
      </c>
      <c r="D270" s="9">
        <v>46281</v>
      </c>
      <c r="E270" t="s">
        <v>306</v>
      </c>
      <c r="F270" t="s">
        <v>307</v>
      </c>
      <c r="G270" t="s">
        <v>73</v>
      </c>
    </row>
    <row r="271" spans="1:7" x14ac:dyDescent="0.25">
      <c r="A271" s="17">
        <v>90386320700028</v>
      </c>
      <c r="B271" s="7" t="s">
        <v>319</v>
      </c>
      <c r="C271" s="8" t="s">
        <v>120</v>
      </c>
      <c r="D271" s="9">
        <v>46281</v>
      </c>
      <c r="E271" t="s">
        <v>306</v>
      </c>
      <c r="F271" t="s">
        <v>307</v>
      </c>
      <c r="G271" t="s">
        <v>73</v>
      </c>
    </row>
    <row r="272" spans="1:7" x14ac:dyDescent="0.25">
      <c r="A272" s="17">
        <v>47978344100054</v>
      </c>
      <c r="B272" s="7" t="s">
        <v>320</v>
      </c>
      <c r="C272" s="8" t="s">
        <v>8</v>
      </c>
      <c r="D272" s="9">
        <v>46281</v>
      </c>
      <c r="E272" t="s">
        <v>306</v>
      </c>
      <c r="F272" t="s">
        <v>307</v>
      </c>
      <c r="G272" t="s">
        <v>137</v>
      </c>
    </row>
    <row r="273" spans="1:7" ht="45" x14ac:dyDescent="0.25">
      <c r="A273" s="17">
        <v>43399925700036</v>
      </c>
      <c r="B273" s="7" t="s">
        <v>321</v>
      </c>
      <c r="C273" s="8" t="s">
        <v>120</v>
      </c>
      <c r="D273" s="9">
        <v>46281</v>
      </c>
      <c r="E273" t="s">
        <v>306</v>
      </c>
      <c r="F273" t="s">
        <v>307</v>
      </c>
      <c r="G273" t="s">
        <v>137</v>
      </c>
    </row>
    <row r="274" spans="1:7" ht="60" x14ac:dyDescent="0.25">
      <c r="A274" s="17">
        <v>95343541900023</v>
      </c>
      <c r="B274" s="7" t="s">
        <v>322</v>
      </c>
      <c r="C274" s="8" t="s">
        <v>120</v>
      </c>
      <c r="D274" s="9">
        <v>46281</v>
      </c>
      <c r="E274" t="s">
        <v>306</v>
      </c>
      <c r="F274" t="s">
        <v>307</v>
      </c>
      <c r="G274" t="s">
        <v>57</v>
      </c>
    </row>
    <row r="275" spans="1:7" ht="30" x14ac:dyDescent="0.25">
      <c r="A275" s="17">
        <v>43453605800036</v>
      </c>
      <c r="B275" s="7" t="s">
        <v>323</v>
      </c>
      <c r="C275" s="8" t="s">
        <v>120</v>
      </c>
      <c r="D275" s="9">
        <v>46281</v>
      </c>
      <c r="E275" t="s">
        <v>306</v>
      </c>
      <c r="F275" t="s">
        <v>307</v>
      </c>
      <c r="G275" t="s">
        <v>57</v>
      </c>
    </row>
    <row r="276" spans="1:7" ht="30" x14ac:dyDescent="0.25">
      <c r="A276" s="17">
        <v>51295755600024</v>
      </c>
      <c r="B276" s="7" t="s">
        <v>324</v>
      </c>
      <c r="C276" s="8" t="s">
        <v>8</v>
      </c>
      <c r="D276" s="9">
        <v>46287</v>
      </c>
      <c r="E276" t="s">
        <v>325</v>
      </c>
      <c r="F276" t="s">
        <v>326</v>
      </c>
      <c r="G276" t="s">
        <v>11</v>
      </c>
    </row>
    <row r="277" spans="1:7" x14ac:dyDescent="0.25">
      <c r="A277" s="17">
        <v>49419227100042</v>
      </c>
      <c r="B277" s="7" t="s">
        <v>327</v>
      </c>
      <c r="C277" s="8" t="s">
        <v>8</v>
      </c>
      <c r="D277" s="9">
        <v>46287</v>
      </c>
      <c r="E277" t="s">
        <v>325</v>
      </c>
      <c r="F277" t="s">
        <v>326</v>
      </c>
      <c r="G277" t="s">
        <v>11</v>
      </c>
    </row>
    <row r="278" spans="1:7" ht="30" x14ac:dyDescent="0.25">
      <c r="A278" s="17">
        <v>89857571700027</v>
      </c>
      <c r="B278" s="7" t="s">
        <v>328</v>
      </c>
      <c r="C278" s="8" t="s">
        <v>8</v>
      </c>
      <c r="D278" s="9">
        <v>46290</v>
      </c>
      <c r="E278" t="s">
        <v>329</v>
      </c>
      <c r="F278" t="s">
        <v>330</v>
      </c>
      <c r="G278" t="s">
        <v>42</v>
      </c>
    </row>
    <row r="279" spans="1:7" ht="30" x14ac:dyDescent="0.25">
      <c r="A279" s="17">
        <v>88512822300025</v>
      </c>
      <c r="B279" s="7" t="s">
        <v>331</v>
      </c>
      <c r="C279" s="8" t="s">
        <v>8</v>
      </c>
      <c r="D279" s="9">
        <v>46290</v>
      </c>
      <c r="E279" t="s">
        <v>329</v>
      </c>
      <c r="F279" t="s">
        <v>330</v>
      </c>
      <c r="G279" t="s">
        <v>42</v>
      </c>
    </row>
    <row r="280" spans="1:7" ht="30" x14ac:dyDescent="0.25">
      <c r="A280" s="17">
        <v>87861948500021</v>
      </c>
      <c r="B280" s="7" t="s">
        <v>332</v>
      </c>
      <c r="C280" s="8" t="s">
        <v>8</v>
      </c>
      <c r="D280" s="9">
        <v>46290</v>
      </c>
      <c r="E280" t="s">
        <v>329</v>
      </c>
      <c r="F280" t="s">
        <v>330</v>
      </c>
      <c r="G280" t="s">
        <v>42</v>
      </c>
    </row>
    <row r="281" spans="1:7" ht="30" x14ac:dyDescent="0.25">
      <c r="A281" s="17">
        <v>83292797400028</v>
      </c>
      <c r="B281" s="7" t="s">
        <v>333</v>
      </c>
      <c r="C281" s="8" t="s">
        <v>8</v>
      </c>
      <c r="D281" s="9">
        <v>46290</v>
      </c>
      <c r="E281" t="s">
        <v>329</v>
      </c>
      <c r="F281" t="s">
        <v>330</v>
      </c>
      <c r="G281" t="s">
        <v>42</v>
      </c>
    </row>
    <row r="282" spans="1:7" ht="30" x14ac:dyDescent="0.25">
      <c r="A282" s="17">
        <v>80359613900029</v>
      </c>
      <c r="B282" s="7" t="s">
        <v>334</v>
      </c>
      <c r="C282" s="8" t="s">
        <v>8</v>
      </c>
      <c r="D282" s="9">
        <v>46290</v>
      </c>
      <c r="E282" t="s">
        <v>329</v>
      </c>
      <c r="F282" t="s">
        <v>330</v>
      </c>
      <c r="G282" t="s">
        <v>42</v>
      </c>
    </row>
    <row r="283" spans="1:7" x14ac:dyDescent="0.25">
      <c r="A283" s="17">
        <v>51438134200021</v>
      </c>
      <c r="B283" s="7" t="s">
        <v>335</v>
      </c>
      <c r="C283" s="8" t="s">
        <v>8</v>
      </c>
      <c r="D283" s="9">
        <v>46290</v>
      </c>
      <c r="E283" t="s">
        <v>329</v>
      </c>
      <c r="F283" t="s">
        <v>330</v>
      </c>
      <c r="G283" t="s">
        <v>142</v>
      </c>
    </row>
    <row r="284" spans="1:7" x14ac:dyDescent="0.25">
      <c r="A284" s="17">
        <v>90950524000020</v>
      </c>
      <c r="B284" s="7" t="s">
        <v>336</v>
      </c>
      <c r="C284" s="8" t="s">
        <v>8</v>
      </c>
      <c r="D284" s="9">
        <v>46290</v>
      </c>
      <c r="E284" t="s">
        <v>329</v>
      </c>
      <c r="F284" t="s">
        <v>330</v>
      </c>
      <c r="G284" t="s">
        <v>142</v>
      </c>
    </row>
    <row r="285" spans="1:7" ht="45" x14ac:dyDescent="0.25">
      <c r="A285" s="17">
        <v>41341773400022</v>
      </c>
      <c r="B285" s="7" t="s">
        <v>337</v>
      </c>
      <c r="C285" s="8" t="s">
        <v>8</v>
      </c>
      <c r="D285" s="9">
        <v>46290</v>
      </c>
      <c r="E285" t="s">
        <v>329</v>
      </c>
      <c r="F285" t="s">
        <v>330</v>
      </c>
      <c r="G285" t="s">
        <v>142</v>
      </c>
    </row>
    <row r="286" spans="1:7" ht="45" x14ac:dyDescent="0.25">
      <c r="A286" s="17">
        <v>81912711900066</v>
      </c>
      <c r="B286" s="7" t="s">
        <v>338</v>
      </c>
      <c r="C286" s="8" t="s">
        <v>8</v>
      </c>
      <c r="D286" s="9">
        <v>46290</v>
      </c>
      <c r="E286" t="s">
        <v>329</v>
      </c>
      <c r="F286" t="s">
        <v>330</v>
      </c>
      <c r="G286" t="s">
        <v>142</v>
      </c>
    </row>
    <row r="287" spans="1:7" ht="30" x14ac:dyDescent="0.25">
      <c r="A287" s="17">
        <v>89862267500038</v>
      </c>
      <c r="B287" s="7" t="s">
        <v>339</v>
      </c>
      <c r="C287" s="8" t="s">
        <v>8</v>
      </c>
      <c r="D287" s="9">
        <v>46290</v>
      </c>
      <c r="E287" t="s">
        <v>329</v>
      </c>
      <c r="F287" t="s">
        <v>330</v>
      </c>
      <c r="G287" t="s">
        <v>142</v>
      </c>
    </row>
    <row r="288" spans="1:7" x14ac:dyDescent="0.25">
      <c r="A288" s="17">
        <v>32780709500069</v>
      </c>
      <c r="B288" s="7" t="s">
        <v>340</v>
      </c>
      <c r="C288" s="8" t="s">
        <v>8</v>
      </c>
      <c r="D288" s="9">
        <v>46290</v>
      </c>
      <c r="E288" t="s">
        <v>329</v>
      </c>
      <c r="F288" t="s">
        <v>330</v>
      </c>
      <c r="G288" t="s">
        <v>137</v>
      </c>
    </row>
    <row r="289" spans="1:7" ht="30" x14ac:dyDescent="0.25">
      <c r="A289" s="17">
        <v>82846011300024</v>
      </c>
      <c r="B289" s="7" t="s">
        <v>341</v>
      </c>
      <c r="C289" s="8" t="s">
        <v>8</v>
      </c>
      <c r="D289" s="9">
        <v>46290</v>
      </c>
      <c r="E289" t="s">
        <v>329</v>
      </c>
      <c r="F289" t="s">
        <v>330</v>
      </c>
      <c r="G289" t="s">
        <v>137</v>
      </c>
    </row>
    <row r="290" spans="1:7" ht="30" x14ac:dyDescent="0.25">
      <c r="A290" s="17">
        <v>98977748700012</v>
      </c>
      <c r="B290" s="7" t="s">
        <v>342</v>
      </c>
      <c r="C290" s="8" t="s">
        <v>8</v>
      </c>
      <c r="D290" s="9">
        <v>46290</v>
      </c>
      <c r="E290" t="s">
        <v>329</v>
      </c>
      <c r="F290" t="s">
        <v>330</v>
      </c>
      <c r="G290" t="s">
        <v>137</v>
      </c>
    </row>
    <row r="291" spans="1:7" ht="30" x14ac:dyDescent="0.25">
      <c r="A291" s="17">
        <v>92972796400017</v>
      </c>
      <c r="B291" s="7" t="s">
        <v>343</v>
      </c>
      <c r="C291" s="8" t="s">
        <v>8</v>
      </c>
      <c r="D291" s="9">
        <v>46290</v>
      </c>
      <c r="E291" t="s">
        <v>329</v>
      </c>
      <c r="F291" t="s">
        <v>330</v>
      </c>
      <c r="G291" t="s">
        <v>137</v>
      </c>
    </row>
    <row r="292" spans="1:7" ht="30" x14ac:dyDescent="0.25">
      <c r="A292" s="17">
        <v>90968094400024</v>
      </c>
      <c r="B292" s="7" t="s">
        <v>344</v>
      </c>
      <c r="C292" s="8" t="s">
        <v>8</v>
      </c>
      <c r="D292" s="9">
        <v>46290</v>
      </c>
      <c r="E292" t="s">
        <v>329</v>
      </c>
      <c r="F292" t="s">
        <v>330</v>
      </c>
      <c r="G292" t="s">
        <v>137</v>
      </c>
    </row>
  </sheetData>
  <conditionalFormatting sqref="A2:A228 A231:A255">
    <cfRule type="duplicateValues" dxfId="5" priority="5"/>
  </conditionalFormatting>
  <conditionalFormatting sqref="B2:B228 B231:B255">
    <cfRule type="duplicateValues" dxfId="4" priority="6"/>
  </conditionalFormatting>
  <conditionalFormatting sqref="A229">
    <cfRule type="duplicateValues" dxfId="3" priority="3"/>
  </conditionalFormatting>
  <conditionalFormatting sqref="B229">
    <cfRule type="duplicateValues" dxfId="2" priority="4"/>
  </conditionalFormatting>
  <conditionalFormatting sqref="A230">
    <cfRule type="duplicateValues" dxfId="1" priority="1"/>
  </conditionalFormatting>
  <conditionalFormatting sqref="B230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92C0-C86D-4820-B166-07660FE1CF3E}">
  <dimension ref="A1:P12"/>
  <sheetViews>
    <sheetView zoomScaleNormal="100" workbookViewId="0">
      <pane xSplit="1" topLeftCell="B1" activePane="topRight" state="frozen"/>
      <selection pane="topRight" activeCell="E23" sqref="E23"/>
    </sheetView>
  </sheetViews>
  <sheetFormatPr baseColWidth="10" defaultRowHeight="15" x14ac:dyDescent="0.25"/>
  <cols>
    <col min="1" max="1" width="22.42578125" bestFit="1" customWidth="1"/>
    <col min="3" max="3" width="39" bestFit="1" customWidth="1"/>
    <col min="4" max="4" width="27.42578125" bestFit="1" customWidth="1"/>
    <col min="5" max="5" width="34.85546875" bestFit="1" customWidth="1"/>
    <col min="6" max="6" width="27.7109375" bestFit="1" customWidth="1"/>
    <col min="7" max="7" width="23.42578125" bestFit="1" customWidth="1"/>
    <col min="8" max="8" width="34.85546875" bestFit="1" customWidth="1"/>
    <col min="9" max="9" width="27.140625" bestFit="1" customWidth="1"/>
    <col min="10" max="10" width="37.5703125" bestFit="1" customWidth="1"/>
    <col min="11" max="11" width="31.5703125" bestFit="1" customWidth="1"/>
    <col min="12" max="12" width="37.85546875" bestFit="1" customWidth="1"/>
    <col min="13" max="13" width="29.85546875" bestFit="1" customWidth="1"/>
    <col min="14" max="14" width="38.42578125" bestFit="1" customWidth="1"/>
    <col min="15" max="15" width="31.5703125" bestFit="1" customWidth="1"/>
    <col min="16" max="16" width="30" bestFit="1" customWidth="1"/>
  </cols>
  <sheetData>
    <row r="1" spans="1:16" x14ac:dyDescent="0.25">
      <c r="A1" t="s">
        <v>6</v>
      </c>
      <c r="B1" t="s">
        <v>345</v>
      </c>
      <c r="C1" t="s">
        <v>346</v>
      </c>
      <c r="D1" t="s">
        <v>127</v>
      </c>
      <c r="E1" t="s">
        <v>347</v>
      </c>
      <c r="F1" t="s">
        <v>166</v>
      </c>
      <c r="G1" t="s">
        <v>348</v>
      </c>
      <c r="H1" t="s">
        <v>349</v>
      </c>
      <c r="I1" t="s">
        <v>350</v>
      </c>
      <c r="J1" t="s">
        <v>351</v>
      </c>
      <c r="K1" t="s">
        <v>352</v>
      </c>
      <c r="L1" t="s">
        <v>353</v>
      </c>
      <c r="M1" t="s">
        <v>354</v>
      </c>
      <c r="N1" t="s">
        <v>355</v>
      </c>
      <c r="O1" t="s">
        <v>356</v>
      </c>
      <c r="P1" t="s">
        <v>357</v>
      </c>
    </row>
    <row r="2" spans="1:16" x14ac:dyDescent="0.25">
      <c r="A2" t="s">
        <v>142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>
        <v>0</v>
      </c>
      <c r="P2">
        <v>5</v>
      </c>
    </row>
    <row r="3" spans="1:16" x14ac:dyDescent="0.25">
      <c r="A3" s="19" t="s">
        <v>11</v>
      </c>
      <c r="B3">
        <v>15</v>
      </c>
      <c r="C3">
        <v>1</v>
      </c>
      <c r="D3">
        <v>2</v>
      </c>
      <c r="E3">
        <v>3</v>
      </c>
      <c r="F3">
        <v>1</v>
      </c>
      <c r="G3">
        <v>1</v>
      </c>
      <c r="H3">
        <v>2</v>
      </c>
      <c r="I3">
        <v>8</v>
      </c>
      <c r="J3">
        <v>1</v>
      </c>
      <c r="K3">
        <v>1</v>
      </c>
      <c r="L3">
        <v>0</v>
      </c>
      <c r="M3">
        <v>0</v>
      </c>
      <c r="N3">
        <v>2</v>
      </c>
      <c r="O3">
        <v>2</v>
      </c>
      <c r="P3">
        <v>0</v>
      </c>
    </row>
    <row r="4" spans="1:16" x14ac:dyDescent="0.25">
      <c r="A4" t="s">
        <v>27</v>
      </c>
      <c r="B4">
        <v>14</v>
      </c>
      <c r="C4">
        <v>0</v>
      </c>
      <c r="D4">
        <v>1</v>
      </c>
      <c r="E4">
        <v>2</v>
      </c>
      <c r="F4">
        <v>1</v>
      </c>
      <c r="G4">
        <v>0</v>
      </c>
      <c r="H4">
        <v>2</v>
      </c>
      <c r="I4">
        <v>8</v>
      </c>
      <c r="J4">
        <v>0</v>
      </c>
      <c r="K4">
        <v>0</v>
      </c>
      <c r="L4">
        <v>2</v>
      </c>
      <c r="M4">
        <v>0</v>
      </c>
      <c r="N4">
        <v>2</v>
      </c>
      <c r="O4">
        <v>0</v>
      </c>
      <c r="P4">
        <v>0</v>
      </c>
    </row>
    <row r="5" spans="1:16" x14ac:dyDescent="0.25">
      <c r="A5" t="s">
        <v>42</v>
      </c>
      <c r="B5">
        <v>14</v>
      </c>
      <c r="C5">
        <v>0</v>
      </c>
      <c r="D5">
        <v>1</v>
      </c>
      <c r="E5">
        <v>2</v>
      </c>
      <c r="F5">
        <v>1</v>
      </c>
      <c r="G5">
        <v>0</v>
      </c>
      <c r="H5">
        <v>1</v>
      </c>
      <c r="I5">
        <v>8</v>
      </c>
      <c r="J5">
        <v>0</v>
      </c>
      <c r="K5">
        <v>2</v>
      </c>
      <c r="L5">
        <v>2</v>
      </c>
      <c r="M5">
        <v>0</v>
      </c>
      <c r="N5">
        <v>2</v>
      </c>
      <c r="O5">
        <v>0</v>
      </c>
      <c r="P5">
        <v>5</v>
      </c>
    </row>
    <row r="6" spans="1:16" x14ac:dyDescent="0.25">
      <c r="A6" t="s">
        <v>137</v>
      </c>
      <c r="B6">
        <v>0</v>
      </c>
      <c r="C6">
        <v>0</v>
      </c>
      <c r="D6">
        <v>1</v>
      </c>
      <c r="E6">
        <v>2</v>
      </c>
      <c r="F6">
        <v>0</v>
      </c>
      <c r="G6">
        <v>0</v>
      </c>
      <c r="H6">
        <v>1</v>
      </c>
      <c r="I6">
        <v>8</v>
      </c>
      <c r="J6">
        <v>1</v>
      </c>
      <c r="K6">
        <v>1</v>
      </c>
      <c r="L6">
        <v>2</v>
      </c>
      <c r="M6">
        <v>2</v>
      </c>
      <c r="N6">
        <v>2</v>
      </c>
      <c r="O6">
        <v>0</v>
      </c>
      <c r="P6">
        <v>5</v>
      </c>
    </row>
    <row r="7" spans="1:16" x14ac:dyDescent="0.25">
      <c r="A7" t="s">
        <v>57</v>
      </c>
      <c r="B7">
        <v>15</v>
      </c>
      <c r="C7">
        <v>1</v>
      </c>
      <c r="D7">
        <v>2</v>
      </c>
      <c r="E7">
        <v>3</v>
      </c>
      <c r="F7">
        <v>1</v>
      </c>
      <c r="G7">
        <v>0</v>
      </c>
      <c r="H7">
        <v>2</v>
      </c>
      <c r="I7">
        <v>8</v>
      </c>
      <c r="J7">
        <v>1</v>
      </c>
      <c r="K7">
        <v>1</v>
      </c>
      <c r="L7">
        <v>1</v>
      </c>
      <c r="M7">
        <v>0</v>
      </c>
      <c r="N7">
        <v>2</v>
      </c>
      <c r="O7">
        <v>0</v>
      </c>
      <c r="P7">
        <v>0</v>
      </c>
    </row>
    <row r="8" spans="1:16" x14ac:dyDescent="0.25">
      <c r="A8" t="s">
        <v>157</v>
      </c>
      <c r="B8">
        <v>0</v>
      </c>
      <c r="C8">
        <v>0</v>
      </c>
      <c r="D8">
        <v>0</v>
      </c>
      <c r="E8">
        <v>2</v>
      </c>
      <c r="F8">
        <v>0</v>
      </c>
      <c r="G8">
        <v>1</v>
      </c>
      <c r="H8">
        <v>1</v>
      </c>
      <c r="I8">
        <v>8</v>
      </c>
      <c r="J8">
        <v>1</v>
      </c>
      <c r="K8">
        <v>0</v>
      </c>
      <c r="L8">
        <v>1</v>
      </c>
      <c r="M8">
        <v>1</v>
      </c>
      <c r="N8">
        <v>2</v>
      </c>
      <c r="O8">
        <v>0</v>
      </c>
      <c r="P8">
        <v>0</v>
      </c>
    </row>
    <row r="9" spans="1:16" x14ac:dyDescent="0.25">
      <c r="A9" t="s">
        <v>73</v>
      </c>
      <c r="B9">
        <v>15</v>
      </c>
      <c r="C9">
        <v>0</v>
      </c>
      <c r="D9">
        <v>1</v>
      </c>
      <c r="E9">
        <v>2</v>
      </c>
      <c r="F9">
        <v>1</v>
      </c>
      <c r="G9">
        <v>0</v>
      </c>
      <c r="H9">
        <v>1</v>
      </c>
      <c r="I9">
        <v>8</v>
      </c>
      <c r="J9">
        <v>0</v>
      </c>
      <c r="K9">
        <v>1</v>
      </c>
      <c r="L9">
        <v>1</v>
      </c>
      <c r="M9">
        <v>0</v>
      </c>
      <c r="N9">
        <v>2</v>
      </c>
      <c r="O9">
        <v>0</v>
      </c>
      <c r="P9">
        <v>0</v>
      </c>
    </row>
    <row r="10" spans="1:16" x14ac:dyDescent="0.25">
      <c r="A10" s="20" t="s">
        <v>106</v>
      </c>
      <c r="B10">
        <v>13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8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ht="15.75" thickBot="1" x14ac:dyDescent="0.3">
      <c r="A11" t="s">
        <v>89</v>
      </c>
      <c r="B11">
        <v>16</v>
      </c>
      <c r="C11">
        <v>1</v>
      </c>
      <c r="D11">
        <v>2</v>
      </c>
      <c r="E11">
        <v>3</v>
      </c>
      <c r="F11">
        <v>1</v>
      </c>
      <c r="G11">
        <v>0</v>
      </c>
      <c r="H11">
        <v>1</v>
      </c>
      <c r="I11">
        <v>9</v>
      </c>
      <c r="J11">
        <v>0</v>
      </c>
      <c r="K11">
        <v>0</v>
      </c>
      <c r="L11">
        <v>1</v>
      </c>
      <c r="M11">
        <v>2</v>
      </c>
      <c r="N11">
        <v>0</v>
      </c>
      <c r="O11">
        <v>0</v>
      </c>
      <c r="P11">
        <v>0</v>
      </c>
    </row>
    <row r="12" spans="1:16" ht="15.75" thickBot="1" x14ac:dyDescent="0.3">
      <c r="A12" t="s">
        <v>358</v>
      </c>
      <c r="B12" s="21">
        <f>+SUM(Tableau3[CCLS])</f>
        <v>102</v>
      </c>
      <c r="C12" s="21">
        <f>+SUM(Tableau3[DSI clients éditeurs Fichier v.31.07.2026 ])</f>
        <v>3</v>
      </c>
      <c r="D12" s="21">
        <f>+SUM(Tableau3[IDSoft éditeur v.30.07.2026])</f>
        <v>11</v>
      </c>
      <c r="E12" s="21">
        <f>+SUM(Tableau3[LOKOA éditeur Abonnés v.31.07.26 ])</f>
        <v>21</v>
      </c>
      <c r="F12" s="21">
        <f>+SUM(Tableau3[SIWEB éditeur v.24.07.2026])</f>
        <v>7</v>
      </c>
      <c r="G12" s="21">
        <f>+SUM(Tableau3[SIWEB éditeur v.07.08 ])</f>
        <v>2</v>
      </c>
      <c r="H12" s="21">
        <f>+SUM(Tableau3[LOKOA éditeur Abonnés v.16.08.26 ])</f>
        <v>12</v>
      </c>
      <c r="I12" s="21">
        <f>+SUM(Tableau3[IDSoft éditeur v.16.08.2026 ])</f>
        <v>73</v>
      </c>
      <c r="J12" s="21">
        <f>+SUM(Tableau3[LOKOA éditeur Abonnés EIE v.31.08.26])</f>
        <v>4</v>
      </c>
      <c r="K12" s="21">
        <f>+SUM(Tableau3[IDSOFT editeur ETS v.31.08.2026])</f>
        <v>7</v>
      </c>
      <c r="L12" s="21">
        <f>+SUM(Tableau3[Cyberg éditeur Clients EIE v.02.09.2026])</f>
        <v>12</v>
      </c>
      <c r="M12" s="21">
        <f>+SUM(Tableau3[IDSOFT editeur ETS v.09.09.26])</f>
        <v>5</v>
      </c>
      <c r="N12" s="21">
        <f>+SUM(Tableau3[NABORA clients abonnés ETS v.14.09.26])</f>
        <v>16</v>
      </c>
      <c r="O12" s="21">
        <f>+SUM(Tableau3[IDSOFT editeur ETS v.18.09.2026])</f>
        <v>2</v>
      </c>
      <c r="P12" s="21">
        <f>+SUM(Tableau3[IDSOFT éditeur ETS v.23.09.26 ])</f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ligne_agent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RHOUDANE Othmane [EIDS]</dc:creator>
  <cp:lastModifiedBy>HAMDANI Mohamed [EIDS]</cp:lastModifiedBy>
  <dcterms:created xsi:type="dcterms:W3CDTF">2026-09-24T08:51:47Z</dcterms:created>
  <dcterms:modified xsi:type="dcterms:W3CDTF">2026-10-06T15:19:08Z</dcterms:modified>
</cp:coreProperties>
</file>